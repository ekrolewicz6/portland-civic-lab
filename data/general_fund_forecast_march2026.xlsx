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portlandoregongov.sharepoint.com/sites/GT-CityBudgetOffice-Staff/Shared Documents/Economics and Forecasting/3. Revenue Forecasts/2. Documents/March 2026/"/>
    </mc:Choice>
  </mc:AlternateContent>
  <xr:revisionPtr revIDLastSave="21" documentId="8_{8DE86C4B-642D-4790-AA46-D5A404F8D785}" xr6:coauthVersionLast="47" xr6:coauthVersionMax="47" xr10:uidLastSave="{2F9AD48A-8169-4BF3-B05D-F73F52EE54B3}"/>
  <bookViews>
    <workbookView xWindow="-120" yWindow="-120" windowWidth="30960" windowHeight="16800" xr2:uid="{D184BE4A-42CB-4866-B3D3-4820C46EE233}"/>
  </bookViews>
  <sheets>
    <sheet name="GF Forecast" sheetId="5" r:id="rId1"/>
    <sheet name="CAL Bureaus" sheetId="1" r:id="rId2"/>
    <sheet name="CAL Cash Transfers" sheetId="2" r:id="rId3"/>
    <sheet name="CAL Special Appropriation" sheetId="3" r:id="rId4"/>
    <sheet name="CAL Other" sheetId="4" r:id="rId5"/>
  </sheets>
  <externalReferences>
    <externalReference r:id="rId6"/>
  </externalReferences>
  <definedNames>
    <definedName name="Cost_Pool">#REF!</definedName>
    <definedName name="DNU">'[1]Cost Pool'!$A$3:$F$28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5" l="1"/>
  <c r="D28" i="1"/>
  <c r="D27" i="1"/>
  <c r="E30" i="5"/>
  <c r="E29" i="5"/>
  <c r="E28" i="5"/>
  <c r="E27" i="5"/>
  <c r="E26" i="5"/>
  <c r="E25" i="5"/>
  <c r="B4" i="5" l="1"/>
  <c r="D17" i="5"/>
  <c r="C17" i="5"/>
  <c r="D31" i="5" l="1"/>
  <c r="B19" i="5" l="1"/>
  <c r="E31" i="5" l="1"/>
  <c r="C31" i="5"/>
  <c r="B31" i="5"/>
  <c r="F11" i="5"/>
  <c r="F17" i="5" s="1"/>
  <c r="F19" i="5" s="1"/>
  <c r="C11" i="5"/>
  <c r="C19" i="5" s="1"/>
  <c r="D11" i="5"/>
  <c r="D19" i="5" s="1"/>
  <c r="E11" i="5"/>
  <c r="E17" i="5" s="1"/>
  <c r="E19" i="5" s="1"/>
  <c r="B11" i="5" l="1"/>
</calcChain>
</file>

<file path=xl/sharedStrings.xml><?xml version="1.0" encoding="utf-8"?>
<sst xmlns="http://schemas.openxmlformats.org/spreadsheetml/2006/main" count="140" uniqueCount="124">
  <si>
    <t>Table 1: Five-Year General Fund Revenues Forecast ($ millions)</t>
  </si>
  <si>
    <t>Revenues</t>
  </si>
  <si>
    <t>FY 26-27</t>
  </si>
  <si>
    <t>FY 27-28</t>
  </si>
  <si>
    <t>FY 28-29</t>
  </si>
  <si>
    <t>FY 29-30</t>
  </si>
  <si>
    <t>FY 30-31</t>
  </si>
  <si>
    <t>Underspending</t>
  </si>
  <si>
    <t>Property Taxes</t>
  </si>
  <si>
    <t>Transient Lodging</t>
  </si>
  <si>
    <t>Business Licenses</t>
  </si>
  <si>
    <t>Utility License/Franchise</t>
  </si>
  <si>
    <t>State Revenues</t>
  </si>
  <si>
    <t>Other Revenues</t>
  </si>
  <si>
    <t>Total Revenues</t>
  </si>
  <si>
    <t>Table 2: Five-Year Balanced General Fund Forecast ($ millions)</t>
  </si>
  <si>
    <t>Type</t>
  </si>
  <si>
    <t>Total Revenue</t>
  </si>
  <si>
    <t>Total Expenses</t>
  </si>
  <si>
    <t>Difference</t>
  </si>
  <si>
    <t>Table 3: Change in Current Year Forecast ($ millions)</t>
  </si>
  <si>
    <t>FY 25-26 April Forecast</t>
  </si>
  <si>
    <t>FY 25-26 December Forecast</t>
  </si>
  <si>
    <t>Total</t>
  </si>
  <si>
    <t>Bureau Name</t>
  </si>
  <si>
    <t>Discretionary</t>
  </si>
  <si>
    <t>Overhead</t>
  </si>
  <si>
    <t>TOTAL</t>
  </si>
  <si>
    <t>Office of the City Attorney</t>
  </si>
  <si>
    <t>Office of the City Auditor</t>
  </si>
  <si>
    <t>City Budget Office</t>
  </si>
  <si>
    <t>City Administrator's Office</t>
  </si>
  <si>
    <t>City Council</t>
  </si>
  <si>
    <t>City Operations Office</t>
  </si>
  <si>
    <t>Office of Community and Economic Development</t>
  </si>
  <si>
    <t>Portland Bureau of Emergency Management</t>
  </si>
  <si>
    <t>Portland Fire &amp; Rescue</t>
  </si>
  <si>
    <t>Office of Government Relations</t>
  </si>
  <si>
    <t>Portland Housing Bureau</t>
  </si>
  <si>
    <t>Bureau of Human Resources</t>
  </si>
  <si>
    <t>Office of the Deputy City Administrator of Budget and Finance</t>
  </si>
  <si>
    <t>Office of the Mayor</t>
  </si>
  <si>
    <t>Office of Community &amp; Civic Life</t>
  </si>
  <si>
    <t>Office of Equity &amp; Human Rights</t>
  </si>
  <si>
    <t>Office of Community-Based Police Accountability</t>
  </si>
  <si>
    <t>Portland Parks &amp; Recreation</t>
  </si>
  <si>
    <t>Portland Police Bureau</t>
  </si>
  <si>
    <t>Bureau of Planning &amp; Sustainability</t>
  </si>
  <si>
    <t>Office of Public Safety</t>
  </si>
  <si>
    <t>Office of Public Works</t>
  </si>
  <si>
    <t>Prosper Portland</t>
  </si>
  <si>
    <t>Bureau of Emergency Communications</t>
  </si>
  <si>
    <t>HR -- DCTU Professional Development Funds</t>
  </si>
  <si>
    <t>HR -- AFSCME Professional Development Funds</t>
  </si>
  <si>
    <t>HR -- PTE-17 Professional Development Funds</t>
  </si>
  <si>
    <t>Total Targets</t>
  </si>
  <si>
    <t>Bureau Program</t>
  </si>
  <si>
    <t>Public Elections Fund</t>
  </si>
  <si>
    <t>OMF ITS Transfer</t>
  </si>
  <si>
    <t>Portland Harbor</t>
  </si>
  <si>
    <t>PP&amp;D Neigh Quality</t>
  </si>
  <si>
    <t>PP&amp;D Liquor Licensing</t>
  </si>
  <si>
    <t xml:space="preserve">PP&amp;D Noise </t>
  </si>
  <si>
    <t>General Fund Overhead Charge</t>
  </si>
  <si>
    <t>Facilities - Westside Staging</t>
  </si>
  <si>
    <t>Facilities - McCall's Building O&amp;M</t>
  </si>
  <si>
    <t>Facilities - Charter Transition Loan Payment</t>
  </si>
  <si>
    <t xml:space="preserve">Facilities - Council Security </t>
  </si>
  <si>
    <t>ADU Ramp Bond</t>
  </si>
  <si>
    <t>HIF CAL Target</t>
  </si>
  <si>
    <t>HIF Bond Principal*</t>
  </si>
  <si>
    <t>HIF Bond Interest*</t>
  </si>
  <si>
    <t>Joint Office of Homeless Services</t>
  </si>
  <si>
    <t>General Fund Reserve - 10%</t>
  </si>
  <si>
    <t>Parks Construction</t>
  </si>
  <si>
    <t>Pension Debt Cash Transfer</t>
  </si>
  <si>
    <t>Parks Memorial Trust</t>
  </si>
  <si>
    <t>PBOT</t>
  </si>
  <si>
    <t>Water-Parks</t>
  </si>
  <si>
    <t>Total Transfers</t>
  </si>
  <si>
    <t>Special Appropriation</t>
  </si>
  <si>
    <t>City Membership &amp; Dues</t>
  </si>
  <si>
    <t>All Hands Raised</t>
  </si>
  <si>
    <t>Council Emergency Funds</t>
  </si>
  <si>
    <t>Mayor's Secret Service Funds</t>
  </si>
  <si>
    <t>Clean &amp; Safe District</t>
  </si>
  <si>
    <t>Rose Festival</t>
  </si>
  <si>
    <t>Portland5 Cash Transfer</t>
  </si>
  <si>
    <t>Future Connect</t>
  </si>
  <si>
    <t>CashOregon Free Tax Help</t>
  </si>
  <si>
    <t>Mt. Hood Cable Regulatory Commission</t>
  </si>
  <si>
    <t>IGA with County for Title 13 Animals</t>
  </si>
  <si>
    <t>Citizen Utility Board Bill Insert</t>
  </si>
  <si>
    <t>Last Thursday</t>
  </si>
  <si>
    <t>Restorative Justice</t>
  </si>
  <si>
    <t>Village Market</t>
  </si>
  <si>
    <t>VOZ Workers' Rights Education Project</t>
  </si>
  <si>
    <t>East Portland Action Plan</t>
  </si>
  <si>
    <t>Gateway Center for Domestic Violence</t>
  </si>
  <si>
    <t>Black Youth Leadership</t>
  </si>
  <si>
    <t>DOJ Settlement Compliance</t>
  </si>
  <si>
    <t>Total Special Appropriations</t>
  </si>
  <si>
    <t>Other Funding</t>
  </si>
  <si>
    <t>Business License Tax Interest</t>
  </si>
  <si>
    <t xml:space="preserve">Broadway Corridor </t>
  </si>
  <si>
    <t>Pension Bonded debt retirement + interest</t>
  </si>
  <si>
    <t>Unrestricted Contingency</t>
  </si>
  <si>
    <t>Comp Set-Aside</t>
  </si>
  <si>
    <t>Build Portland</t>
  </si>
  <si>
    <t>Overhead True-up</t>
  </si>
  <si>
    <t>**CHIERS/Sobering contract**</t>
  </si>
  <si>
    <t>Police Oversight Board</t>
  </si>
  <si>
    <t>Portland Harbor Policy Set-Aside</t>
  </si>
  <si>
    <t>Total Other Funding</t>
  </si>
  <si>
    <t>Special Appropriations1</t>
  </si>
  <si>
    <t>Transfers to Bureaus/Funds1</t>
  </si>
  <si>
    <t>Other Targets1</t>
  </si>
  <si>
    <t>Habitat Remediation</t>
  </si>
  <si>
    <t>Council Protection Services</t>
  </si>
  <si>
    <t>FY 25-26 
March 
Forecast</t>
  </si>
  <si>
    <t>Actual Revenue Collections through AP08</t>
  </si>
  <si>
    <t xml:space="preserve">Note on the Business License AP08 Total: This is inclusive of credit carryforwards which are debited at the beginning the year and credited in mid April. Typically credit carryforwards end the year around $0 (what is debited in the Fall is credited in the Spring). The chart in the accompanying document shows BLT revenues excluding credit carryforwards and it is easier to see how and why revenue collections are still on track to reach $220 million. </t>
  </si>
  <si>
    <t>Total Revenues Excluding Current Year Gap</t>
  </si>
  <si>
    <t>Change in Current Year Forecast (CY Gap)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</si>
</sst>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44" formatCode="_(&quot;$&quot;* #,##0.00_);_(&quot;$&quot;* \(#,##0.00\);_(&quot;$&quot;* &quot;-&quot;??_);_(@_)"/>
    <numFmt numFmtId="164" formatCode="&quot;$&quot;#,##0"/>
    <numFmt numFmtId="165" formatCode="&quot;$&quot;#,##0.0"/>
    <numFmt numFmtId="166" formatCode="&quot;$&quot;#,##0.0_);[Red]\(&quot;$&quot;#,##0.0\)"/>
  </numFmts>
  <fonts count="7" x14ac:knownFonts="1">
    <font>
      <sz val="11"/>
      <color theme="1"/>
      <name val="Calibri"/>
      <family val="2"/>
      <scheme val="minor"/>
    </font>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sz val="11"/>
      <name val="Calibri"/>
      <family val="2"/>
      <scheme val="minor"/>
    </font>
    <font>
      <sz val="8"/>
      <name val="Calibri"/>
      <family val="2"/>
      <scheme val="minor"/>
    </font>
  </fonts>
  <fills count="4">
    <fill>
      <patternFill patternType="none"/>
    </fill>
    <fill>
      <patternFill patternType="gray125"/>
    </fill>
    <fill>
      <patternFill patternType="solid">
        <fgColor rgb="FFC0C0C0"/>
        <bgColor indexed="64"/>
      </patternFill>
    </fill>
    <fill>
      <patternFill patternType="solid">
        <fgColor theme="0" tint="-0.249977111117893"/>
        <bgColor indexed="64"/>
      </patternFill>
    </fill>
  </fills>
  <borders count="16">
    <border>
      <left/>
      <right/>
      <top/>
      <bottom/>
      <diagonal/>
    </border>
    <border>
      <left/>
      <right/>
      <top/>
      <bottom style="medium">
        <color auto="1"/>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medium">
        <color auto="1"/>
      </left>
      <right/>
      <top/>
      <bottom style="medium">
        <color auto="1"/>
      </bottom>
      <diagonal/>
    </border>
    <border>
      <left/>
      <right style="medium">
        <color indexed="64"/>
      </right>
      <top/>
      <bottom style="medium">
        <color auto="1"/>
      </bottom>
      <diagonal/>
    </border>
  </borders>
  <cellStyleXfs count="2">
    <xf numFmtId="0" fontId="0" fillId="0" borderId="0"/>
    <xf numFmtId="44" fontId="1" fillId="0" borderId="0" applyFont="0" applyFill="0" applyBorder="0" applyAlignment="0" applyProtection="0"/>
  </cellStyleXfs>
  <cellXfs count="48">
    <xf numFmtId="0" fontId="0" fillId="0" borderId="0" xfId="0"/>
    <xf numFmtId="6" fontId="0" fillId="0" borderId="0" xfId="0" applyNumberFormat="1"/>
    <xf numFmtId="164" fontId="0" fillId="0" borderId="0" xfId="0" applyNumberFormat="1"/>
    <xf numFmtId="164" fontId="1" fillId="0" borderId="0" xfId="1" applyNumberFormat="1" applyFont="1"/>
    <xf numFmtId="6" fontId="2" fillId="0" borderId="0" xfId="0" applyNumberFormat="1" applyFont="1"/>
    <xf numFmtId="0" fontId="2" fillId="0" borderId="0" xfId="0" applyFont="1"/>
    <xf numFmtId="165" fontId="0" fillId="0" borderId="2" xfId="0" applyNumberFormat="1" applyBorder="1"/>
    <xf numFmtId="0" fontId="0" fillId="0" borderId="6" xfId="0" applyBorder="1"/>
    <xf numFmtId="165" fontId="0" fillId="0" borderId="0" xfId="0" applyNumberFormat="1"/>
    <xf numFmtId="165" fontId="0" fillId="0" borderId="7" xfId="0" applyNumberFormat="1" applyBorder="1"/>
    <xf numFmtId="0" fontId="0" fillId="0" borderId="8" xfId="0" applyBorder="1"/>
    <xf numFmtId="165" fontId="0" fillId="0" borderId="9" xfId="0" applyNumberFormat="1" applyBorder="1"/>
    <xf numFmtId="0" fontId="4" fillId="0" borderId="0" xfId="0" applyFont="1" applyAlignment="1">
      <alignment vertical="center"/>
    </xf>
    <xf numFmtId="0" fontId="3" fillId="2" borderId="1" xfId="0" applyFont="1" applyFill="1" applyBorder="1" applyAlignment="1">
      <alignment vertical="center"/>
    </xf>
    <xf numFmtId="0" fontId="3" fillId="2" borderId="1" xfId="0" applyFont="1" applyFill="1" applyBorder="1" applyAlignment="1">
      <alignment horizontal="center" vertical="center"/>
    </xf>
    <xf numFmtId="0" fontId="3" fillId="0" borderId="11" xfId="0" applyFont="1" applyBorder="1" applyAlignment="1">
      <alignment vertical="center"/>
    </xf>
    <xf numFmtId="6" fontId="2" fillId="0" borderId="11" xfId="0" applyNumberFormat="1" applyFont="1" applyBorder="1"/>
    <xf numFmtId="0" fontId="2" fillId="0" borderId="3" xfId="0" applyFont="1" applyBorder="1"/>
    <xf numFmtId="0" fontId="0" fillId="0" borderId="2" xfId="0" applyBorder="1" applyAlignment="1">
      <alignment horizontal="center" vertical="center"/>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2"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0" fillId="0" borderId="3" xfId="0" applyBorder="1" applyAlignment="1">
      <alignment horizontal="center" vertical="center"/>
    </xf>
    <xf numFmtId="0" fontId="2" fillId="0" borderId="13" xfId="0" applyFont="1" applyBorder="1" applyAlignment="1">
      <alignment horizontal="center" vertical="center" wrapText="1"/>
    </xf>
    <xf numFmtId="165" fontId="2" fillId="0" borderId="4" xfId="0" applyNumberFormat="1" applyFont="1" applyBorder="1"/>
    <xf numFmtId="165" fontId="2" fillId="0" borderId="5" xfId="0" applyNumberFormat="1" applyFont="1" applyBorder="1"/>
    <xf numFmtId="0" fontId="0" fillId="0" borderId="8" xfId="0" applyBorder="1" applyAlignment="1">
      <alignment horizontal="center" vertical="center"/>
    </xf>
    <xf numFmtId="0" fontId="0" fillId="0" borderId="9" xfId="0" applyBorder="1" applyAlignment="1">
      <alignment horizontal="center" vertical="center"/>
    </xf>
    <xf numFmtId="165" fontId="5" fillId="0" borderId="0" xfId="0" applyNumberFormat="1" applyFont="1" applyFill="1"/>
    <xf numFmtId="0" fontId="0" fillId="0" borderId="0" xfId="0" applyBorder="1"/>
    <xf numFmtId="6" fontId="0" fillId="0" borderId="0" xfId="0" applyNumberFormat="1" applyBorder="1"/>
    <xf numFmtId="0" fontId="2" fillId="0" borderId="14" xfId="0" applyFont="1" applyBorder="1"/>
    <xf numFmtId="6" fontId="0" fillId="0" borderId="15" xfId="0" applyNumberFormat="1" applyFont="1" applyBorder="1"/>
    <xf numFmtId="165" fontId="2" fillId="0" borderId="12" xfId="0" applyNumberFormat="1" applyFont="1" applyBorder="1"/>
    <xf numFmtId="0" fontId="0" fillId="0" borderId="0" xfId="0" applyAlignment="1">
      <alignment horizontal="center" vertical="center" wrapText="1"/>
    </xf>
    <xf numFmtId="166" fontId="0" fillId="0" borderId="0" xfId="0" applyNumberFormat="1"/>
    <xf numFmtId="166" fontId="0" fillId="0" borderId="2" xfId="0" applyNumberFormat="1" applyBorder="1" applyAlignment="1">
      <alignment horizontal="right"/>
    </xf>
    <xf numFmtId="166" fontId="0" fillId="0" borderId="9" xfId="0" applyNumberFormat="1" applyBorder="1" applyAlignment="1">
      <alignment horizontal="right"/>
    </xf>
    <xf numFmtId="165" fontId="0" fillId="0" borderId="0" xfId="0" applyNumberFormat="1" applyAlignment="1">
      <alignment horizontal="right"/>
    </xf>
    <xf numFmtId="165" fontId="0" fillId="0" borderId="0" xfId="0" applyNumberFormat="1" applyBorder="1"/>
    <xf numFmtId="0" fontId="2" fillId="3" borderId="10" xfId="0" applyFont="1" applyFill="1" applyBorder="1" applyAlignment="1">
      <alignment horizontal="center"/>
    </xf>
    <xf numFmtId="0" fontId="2" fillId="3" borderId="11" xfId="0" applyFont="1" applyFill="1" applyBorder="1" applyAlignment="1">
      <alignment horizontal="center"/>
    </xf>
    <xf numFmtId="0" fontId="2" fillId="3" borderId="12" xfId="0" applyFont="1" applyFill="1" applyBorder="1" applyAlignment="1">
      <alignment horizontal="center"/>
    </xf>
    <xf numFmtId="0" fontId="2" fillId="3" borderId="6" xfId="0" applyFont="1" applyFill="1" applyBorder="1" applyAlignment="1">
      <alignment horizontal="center"/>
    </xf>
    <xf numFmtId="0" fontId="2" fillId="3" borderId="0" xfId="0" applyFont="1" applyFill="1" applyBorder="1" applyAlignment="1">
      <alignment horizontal="center"/>
    </xf>
    <xf numFmtId="0" fontId="0" fillId="0" borderId="0" xfId="0" applyAlignment="1">
      <alignment horizontal="left" wrapText="1"/>
    </xf>
  </cellXfs>
  <cellStyles count="2">
    <cellStyle name="Currency" xfId="1" builtinId="4"/>
    <cellStyle name="Normal" xfId="0" builtinId="0"/>
  </cellStyles>
  <dxfs count="50">
    <dxf>
      <numFmt numFmtId="10" formatCode="&quot;$&quot;#,##0_);[Red]\(&quot;$&quot;#,##0\)"/>
    </dxf>
    <dxf>
      <border outline="0">
        <left style="medium">
          <color auto="1"/>
        </left>
        <right style="medium">
          <color indexed="64"/>
        </right>
        <top style="medium">
          <color indexed="64"/>
        </top>
        <bottom style="medium">
          <color auto="1"/>
        </bottom>
      </border>
    </dxf>
    <dxf>
      <border outline="0">
        <bottom style="medium">
          <color auto="1"/>
        </bottom>
      </border>
    </dxf>
    <dxf>
      <numFmt numFmtId="10" formatCode="&quot;$&quot;#,##0_);[Red]\(&quot;$&quot;#,##0\)"/>
    </dxf>
    <dxf>
      <numFmt numFmtId="10" formatCode="&quot;$&quot;#,##0_);[Red]\(&quot;$&quot;#,##0\)"/>
    </dxf>
    <dxf>
      <border outline="0">
        <left style="medium">
          <color auto="1"/>
        </left>
        <right style="medium">
          <color indexed="64"/>
        </right>
        <top style="medium">
          <color indexed="64"/>
        </top>
        <bottom style="medium">
          <color auto="1"/>
        </bottom>
      </border>
    </dxf>
    <dxf>
      <border outline="0">
        <bottom style="medium">
          <color auto="1"/>
        </bottom>
      </border>
    </dxf>
    <dxf>
      <numFmt numFmtId="10" formatCode="&quot;$&quot;#,##0_);[Red]\(&quot;$&quot;#,##0\)"/>
    </dxf>
    <dxf>
      <border outline="0">
        <left style="medium">
          <color auto="1"/>
        </left>
        <right style="medium">
          <color indexed="64"/>
        </right>
        <top style="medium">
          <color indexed="64"/>
        </top>
        <bottom style="medium">
          <color indexed="64"/>
        </bottom>
      </border>
    </dxf>
    <dxf>
      <border outline="0">
        <bottom style="medium">
          <color auto="1"/>
        </bottom>
      </border>
    </dxf>
    <dxf>
      <numFmt numFmtId="10" formatCode="&quot;$&quot;#,##0_);[Red]\(&quot;$&quot;#,##0\)"/>
    </dxf>
    <dxf>
      <numFmt numFmtId="10" formatCode="&quot;$&quot;#,##0_);[Red]\(&quot;$&quot;#,##0\)"/>
    </dxf>
    <dxf>
      <numFmt numFmtId="10" formatCode="&quot;$&quot;#,##0_);[Red]\(&quot;$&quot;#,##0\)"/>
    </dxf>
    <dxf>
      <font>
        <b val="0"/>
        <i val="0"/>
        <strike val="0"/>
        <condense val="0"/>
        <extend val="0"/>
        <outline val="0"/>
        <shadow val="0"/>
        <u val="none"/>
        <vertAlign val="baseline"/>
        <sz val="11"/>
        <color rgb="FF000000"/>
        <name val="Calibri"/>
        <family val="2"/>
        <scheme val="minor"/>
      </font>
      <alignment horizontal="general" vertical="center" textRotation="0" wrapText="0" indent="0" justifyLastLine="0" shrinkToFit="0" readingOrder="0"/>
    </dxf>
    <dxf>
      <border outline="0">
        <left style="medium">
          <color auto="1"/>
        </left>
        <right style="medium">
          <color indexed="64"/>
        </right>
        <top style="medium">
          <color indexed="64"/>
        </top>
        <bottom style="medium">
          <color indexed="64"/>
        </bottom>
      </border>
    </dxf>
    <dxf>
      <border outline="0">
        <bottom style="medium">
          <color auto="1"/>
        </bottom>
      </border>
    </dxf>
    <dxf>
      <font>
        <b/>
        <i val="0"/>
        <strike val="0"/>
        <condense val="0"/>
        <extend val="0"/>
        <outline val="0"/>
        <shadow val="0"/>
        <u val="none"/>
        <vertAlign val="baseline"/>
        <sz val="11"/>
        <color rgb="FF000000"/>
        <name val="Calibri"/>
        <family val="2"/>
        <scheme val="minor"/>
      </font>
      <fill>
        <patternFill patternType="solid">
          <fgColor indexed="64"/>
          <bgColor rgb="FFC0C0C0"/>
        </patternFill>
      </fill>
      <alignment horizontal="center" vertical="center" textRotation="0" wrapText="0" indent="0" justifyLastLine="0" shrinkToFit="0" readingOrder="0"/>
    </dxf>
    <dxf>
      <numFmt numFmtId="165" formatCode="&quot;$&quot;#,##0.0"/>
      <border diagonalUp="0" diagonalDown="0">
        <left/>
        <right style="thin">
          <color indexed="64"/>
        </right>
        <top/>
        <bottom/>
        <vertical/>
        <horizontal/>
      </border>
    </dxf>
    <dxf>
      <numFmt numFmtId="165" formatCode="&quot;$&quot;#,##0.0"/>
      <border diagonalUp="0" diagonalDown="0">
        <left/>
        <right style="thin">
          <color indexed="64"/>
        </right>
        <top/>
        <bottom style="thin">
          <color indexed="64"/>
        </bottom>
        <vertical/>
        <horizontal/>
      </border>
    </dxf>
    <dxf>
      <numFmt numFmtId="165" formatCode="&quot;$&quot;#,##0.0"/>
      <border diagonalUp="0" diagonalDown="0">
        <left/>
        <right style="thin">
          <color indexed="64"/>
        </right>
        <top/>
        <bottom style="thin">
          <color indexed="64"/>
        </bottom>
        <vertical/>
        <horizontal/>
      </border>
    </dxf>
    <dxf>
      <numFmt numFmtId="165" formatCode="&quot;$&quot;#,##0.0"/>
      <border diagonalUp="0" diagonalDown="0">
        <left/>
        <right/>
        <top/>
        <bottom style="thin">
          <color indexed="64"/>
        </bottom>
        <vertical/>
        <horizontal/>
      </border>
    </dxf>
    <dxf>
      <border outline="0">
        <left style="thin">
          <color indexed="64"/>
        </left>
      </border>
    </dxf>
    <dxf>
      <alignment horizontal="center" vertical="center" textRotation="0" indent="0" justifyLastLine="0" shrinkToFit="0" readingOrder="0"/>
    </dxf>
    <dxf>
      <numFmt numFmtId="165" formatCode="&quot;$&quot;#,##0.0"/>
      <border diagonalUp="0" diagonalDown="0" outline="0">
        <left/>
        <right style="thin">
          <color indexed="64"/>
        </right>
        <top/>
        <bottom style="thin">
          <color indexed="64"/>
        </bottom>
      </border>
    </dxf>
    <dxf>
      <alignment horizontal="right" vertical="bottom" textRotation="0" wrapText="0" indent="0" justifyLastLine="0" shrinkToFit="0" readingOrder="0"/>
    </dxf>
    <dxf>
      <numFmt numFmtId="165" formatCode="&quot;$&quot;#,##0.0"/>
      <border diagonalUp="0" diagonalDown="0" outline="0">
        <left/>
        <right/>
        <top/>
        <bottom style="thin">
          <color indexed="64"/>
        </bottom>
      </border>
    </dxf>
    <dxf>
      <alignment horizontal="right" vertical="bottom" textRotation="0" wrapText="0" indent="0" justifyLastLine="0" shrinkToFit="0" readingOrder="0"/>
    </dxf>
    <dxf>
      <numFmt numFmtId="165" formatCode="&quot;$&quot;#,##0.0"/>
      <border diagonalUp="0" diagonalDown="0" outline="0">
        <left/>
        <right/>
        <top/>
        <bottom style="thin">
          <color indexed="64"/>
        </bottom>
      </border>
    </dxf>
    <dxf>
      <alignment horizontal="right" vertical="bottom" textRotation="0" wrapText="0" indent="0" justifyLastLine="0" shrinkToFit="0" readingOrder="0"/>
    </dxf>
    <dxf>
      <numFmt numFmtId="165" formatCode="&quot;$&quot;#,##0.0"/>
      <border diagonalUp="0" diagonalDown="0" outline="0">
        <left/>
        <right/>
        <top/>
        <bottom style="thin">
          <color indexed="64"/>
        </bottom>
      </border>
    </dxf>
    <dxf>
      <alignment horizontal="right" vertical="bottom" textRotation="0" wrapText="0" indent="0" justifyLastLine="0" shrinkToFit="0" readingOrder="0"/>
    </dxf>
    <dxf>
      <numFmt numFmtId="165" formatCode="&quot;$&quot;#,##0.0"/>
      <border diagonalUp="0" diagonalDown="0" outline="0">
        <left/>
        <right/>
        <top/>
        <bottom style="thin">
          <color indexed="64"/>
        </bottom>
      </border>
    </dxf>
    <dxf>
      <border diagonalUp="0" diagonalDown="0" outline="0">
        <left style="thin">
          <color indexed="64"/>
        </left>
        <right/>
        <top/>
        <bottom style="thin">
          <color indexed="64"/>
        </bottom>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numFmt numFmtId="165" formatCode="&quot;$&quot;#,##0.0"/>
      <border diagonalUp="0" diagonalDown="0" outline="0">
        <left/>
        <right style="thin">
          <color indexed="64"/>
        </right>
        <top/>
        <bottom style="thin">
          <color indexed="64"/>
        </bottom>
      </border>
    </dxf>
    <dxf>
      <numFmt numFmtId="165" formatCode="&quot;$&quot;#,##0.0"/>
    </dxf>
    <dxf>
      <numFmt numFmtId="165" formatCode="&quot;$&quot;#,##0.0"/>
      <border diagonalUp="0" diagonalDown="0" outline="0">
        <left/>
        <right/>
        <top/>
        <bottom style="thin">
          <color indexed="64"/>
        </bottom>
      </border>
    </dxf>
    <dxf>
      <numFmt numFmtId="165" formatCode="&quot;$&quot;#,##0.0"/>
    </dxf>
    <dxf>
      <numFmt numFmtId="165" formatCode="&quot;$&quot;#,##0.0"/>
      <border diagonalUp="0" diagonalDown="0" outline="0">
        <left/>
        <right/>
        <top/>
        <bottom style="thin">
          <color indexed="64"/>
        </bottom>
      </border>
    </dxf>
    <dxf>
      <numFmt numFmtId="165" formatCode="&quot;$&quot;#,##0.0"/>
    </dxf>
    <dxf>
      <numFmt numFmtId="165" formatCode="&quot;$&quot;#,##0.0"/>
      <border diagonalUp="0" diagonalDown="0" outline="0">
        <left/>
        <right/>
        <top/>
        <bottom style="thin">
          <color indexed="64"/>
        </bottom>
      </border>
    </dxf>
    <dxf>
      <numFmt numFmtId="165" formatCode="&quot;$&quot;#,##0.0"/>
    </dxf>
    <dxf>
      <numFmt numFmtId="165" formatCode="&quot;$&quot;#,##0.0"/>
      <border diagonalUp="0" diagonalDown="0" outline="0">
        <left/>
        <right/>
        <top/>
        <bottom/>
      </border>
    </dxf>
    <dxf>
      <numFmt numFmtId="165" formatCode="&quot;$&quot;#,##0.0"/>
    </dxf>
    <dxf>
      <border diagonalUp="0" diagonalDown="0" outline="0">
        <left style="thin">
          <color indexed="64"/>
        </left>
        <right/>
        <top/>
        <bottom/>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portlandoregongov.sharepoint.com/sites/GT-CityBudgetOffice-Staff/Shared%20Documents/General/FY%202025-26/24%20-%20Analyst%20Folders/Owen/Overhead%20Analysis/FY%202025-26%20Budget%20Dev%20GFOH%20Requested%20with%20Recs.xlsx" TargetMode="External"/><Relationship Id="rId1" Type="http://schemas.openxmlformats.org/officeDocument/2006/relationships/externalLinkPath" Target="/sites/GT-CityBudgetOffice-Staff/Shared%20Documents/General/FY%202025-26/24%20-%20Analyst%20Folders/Owen/Overhead%20Analysis/FY%202025-26%20Budget%20Dev%20GFOH%20Requested%20with%20Rec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 for Economist_CAL File"/>
      <sheetName val="Values for PDF"/>
      <sheetName val="Version Update"/>
      <sheetName val="Summary of Changes "/>
      <sheetName val="Requested #s"/>
      <sheetName val="YoY Change"/>
      <sheetName val="Charges_Pivot"/>
      <sheetName val="Cost Pool"/>
      <sheetName val="Model"/>
      <sheetName val="PY Cost Pool"/>
      <sheetName val="BFM Cost Pool Data FY 22-23"/>
      <sheetName val="BFM Cost Pool Data FY 21-22"/>
      <sheetName val="Fund Notes &amp; Changes"/>
      <sheetName val="Lookup Values"/>
      <sheetName val="Sheet1"/>
      <sheetName val="$ FY 2013-14"/>
      <sheetName val="Pos FY 2013-14"/>
      <sheetName val="$ FY 2014-15"/>
      <sheetName val="Pos FY 2014-15"/>
      <sheetName val="OMF Overhead for FY 2024-25"/>
      <sheetName val="OMF Overhead for FY 2023-24"/>
      <sheetName val="OMF overhead for FY 2022-23"/>
      <sheetName val="OMF overhead for FY 2021-22"/>
      <sheetName val="Pos FY 2023-24"/>
      <sheetName val="Pos FY 2022-23"/>
      <sheetName val="Pos FY 2021-22"/>
      <sheetName val="$ FY 2023-24"/>
      <sheetName val="$ FY 2022-23"/>
      <sheetName val="$ FY 2021-22"/>
      <sheetName val="Pos FY 2020-21"/>
      <sheetName val="$ FY 2020-21"/>
      <sheetName val="Pos FY 2019-20"/>
      <sheetName val="$ FY 2019-20"/>
      <sheetName val="OMF overhead for FY 2019-20"/>
      <sheetName val="Pos FY 2018-19"/>
      <sheetName val="$ FY 2018-19"/>
      <sheetName val="ESRI_MAPINFO_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4FA3C1A-BE79-4F57-AB92-E9605452AD67}" name="GF_Rev_Forecast" displayName="GF_Rev_Forecast" ref="A2:F11" totalsRowCount="1" headerRowDxfId="49" headerRowBorderDxfId="48" tableBorderDxfId="47">
  <autoFilter ref="A2:F10" xr:uid="{44FA3C1A-BE79-4F57-AB92-E9605452AD67}"/>
  <tableColumns count="6">
    <tableColumn id="1" xr3:uid="{BB9AED01-7BCA-43B8-B7E0-25C79378D355}" name="Revenues" totalsRowLabel="Total Revenues" totalsRowDxfId="46"/>
    <tableColumn id="2" xr3:uid="{5416AC5D-742A-4D5A-9D71-89ED56A8A2CF}" name="FY 26-27" totalsRowFunction="sum" dataDxfId="45" totalsRowDxfId="44"/>
    <tableColumn id="3" xr3:uid="{6D565800-0594-4D4D-B9F2-D405785D649A}" name="FY 27-28" totalsRowFunction="sum" dataDxfId="43" totalsRowDxfId="42"/>
    <tableColumn id="4" xr3:uid="{0B479CDD-6AAC-4C47-AA85-AC442668C35D}" name="FY 28-29" totalsRowFunction="sum" dataDxfId="41" totalsRowDxfId="40"/>
    <tableColumn id="5" xr3:uid="{39222A76-FCDB-476D-8DD4-BD729E043628}" name="FY 29-30" totalsRowFunction="sum" dataDxfId="39" totalsRowDxfId="38"/>
    <tableColumn id="6" xr3:uid="{C539AE26-1458-40BC-B19B-65C14F6CA4C3}" name="FY 30-31" totalsRowFunction="sum" dataDxfId="37" totalsRowDxfId="36"/>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51F61E-3B3D-462A-8927-D671D57DDE37}" name="GF_Balanced_Forecast" displayName="GF_Balanced_Forecast" ref="A16:F19" totalsRowCount="1" headerRowDxfId="35" headerRowBorderDxfId="34" tableBorderDxfId="33">
  <autoFilter ref="A16:F18" xr:uid="{2451F61E-3B3D-462A-8927-D671D57DDE37}"/>
  <tableColumns count="6">
    <tableColumn id="1" xr3:uid="{383A454C-4101-4D33-8C7C-2C659061FE26}" name="Type" totalsRowLabel="Difference" totalsRowDxfId="32"/>
    <tableColumn id="2" xr3:uid="{0856250A-A396-492B-85D4-BD77DD716E07}" name="FY 26-27" totalsRowFunction="custom" totalsRowDxfId="31">
      <totalsRowFormula>B17-B18</totalsRowFormula>
    </tableColumn>
    <tableColumn id="3" xr3:uid="{A9CCF30C-E2DD-4554-8E44-90EDED1EAE6F}" name="FY 27-28" totalsRowFunction="custom" dataDxfId="30" totalsRowDxfId="29">
      <totalsRowFormula>C17-C18</totalsRowFormula>
    </tableColumn>
    <tableColumn id="4" xr3:uid="{6ED07658-85E7-4951-AE4B-EE2D6EC17034}" name="FY 28-29" totalsRowFunction="custom" dataDxfId="28" totalsRowDxfId="27">
      <totalsRowFormula>D17-D18</totalsRowFormula>
    </tableColumn>
    <tableColumn id="5" xr3:uid="{98B550B6-5955-4DBF-ADAE-8D4184FE2F35}" name="FY 29-30" totalsRowFunction="custom" dataDxfId="26" totalsRowDxfId="25">
      <totalsRowFormula>E17-E18</totalsRowFormula>
    </tableColumn>
    <tableColumn id="6" xr3:uid="{8470482C-92E3-4BB5-9D06-DB856F2DBE55}" name="FY 30-31" totalsRowFunction="custom" dataDxfId="24" totalsRowDxfId="23">
      <totalsRowFormula>F17-F18</totalsRow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B68F293-C2C2-438D-8E8C-4E0482ED724B}" name="GF_Current_Year_Change" displayName="GF_Current_Year_Change" ref="A24:E31" totalsRowShown="0" headerRowDxfId="22" tableBorderDxfId="21">
  <autoFilter ref="A24:E31" xr:uid="{5B68F293-C2C2-438D-8E8C-4E0482ED724B}"/>
  <tableColumns count="5">
    <tableColumn id="1" xr3:uid="{3FA8F0FC-6612-4A35-B7B0-4955D1118DCF}" name="Revenues"/>
    <tableColumn id="2" xr3:uid="{F04E5C82-E876-4F4A-936D-1032BA7F2AAE}" name="FY 25-26 April Forecast" dataDxfId="20"/>
    <tableColumn id="3" xr3:uid="{C1F1CD1F-1E2A-4DA7-A0F5-F2093C06660B}" name="FY 25-26 December Forecast" dataDxfId="19"/>
    <tableColumn id="4" xr3:uid="{72B6165C-F283-4E95-9073-ACBD0447CB33}" name="FY 25-26 _x000a_March _x000a_Forecast" dataDxfId="18"/>
    <tableColumn id="5" xr3:uid="{CA4F641E-38A2-44D9-8CEA-7967469C3B94}" name="Actual Revenue Collections through AP08" dataDxfId="17">
      <calculatedColumnFormula>SUM(E19:E24)</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3A6D74-E750-425A-B973-2DA577A0F7DE}" name="CAL_Bureaus" displayName="CAL_Bureaus" ref="A1:D32" totalsRowShown="0" headerRowDxfId="16" headerRowBorderDxfId="15" tableBorderDxfId="14">
  <autoFilter ref="A1:D32" xr:uid="{5A3A6D74-E750-425A-B973-2DA577A0F7DE}"/>
  <tableColumns count="4">
    <tableColumn id="1" xr3:uid="{1ABD2D7F-6206-4540-B181-B7AB0300160B}" name="Bureau Name" dataDxfId="13"/>
    <tableColumn id="2" xr3:uid="{343A5927-0428-4637-8059-55B1A39E5CC6}" name="Discretionary" dataDxfId="12"/>
    <tableColumn id="3" xr3:uid="{9A2AC9C0-3EC7-4677-8DF4-0F5640E0B43E}" name="Overhead" dataDxfId="11"/>
    <tableColumn id="4" xr3:uid="{4B55EA8A-37C3-4174-8211-FE257CEE30A3}" name="TOTAL" dataDxfId="10"/>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21E1C95-3E8E-43D4-BA8D-BA472B48B871}" name="CAL_Cash_Transfers" displayName="CAL_Cash_Transfers" ref="A1:B26" totalsRowShown="0" headerRowBorderDxfId="9" tableBorderDxfId="8">
  <autoFilter ref="A1:B26" xr:uid="{321E1C95-3E8E-43D4-BA8D-BA472B48B871}"/>
  <tableColumns count="2">
    <tableColumn id="1" xr3:uid="{CF0C6EA6-756A-43D1-A1D7-0B5993F20F74}" name="Bureau Program"/>
    <tableColumn id="2" xr3:uid="{C65EE5B5-9575-49C1-BD17-DB0F09023CEB}" name="Discretionary" dataDxfId="7"/>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B283ECD-3AA8-45F9-A755-CF37CFB03063}" name="CAL_Special_Approp" displayName="CAL_Special_Approp" ref="A1:C22" totalsRowShown="0" headerRowBorderDxfId="6" tableBorderDxfId="5">
  <autoFilter ref="A1:C22" xr:uid="{3B283ECD-3AA8-45F9-A755-CF37CFB03063}"/>
  <tableColumns count="3">
    <tableColumn id="1" xr3:uid="{E11DB11B-EF89-4F47-81A8-543EE4EE6445}" name="Special Appropriation"/>
    <tableColumn id="2" xr3:uid="{2BCF8769-C4DD-47AA-934A-59EA1F004E1B}" name="Discretionary" dataDxfId="4"/>
    <tableColumn id="3" xr3:uid="{354664A3-4D32-4C0A-854E-3EC0C302ACFF}" name="Overhead" dataDxfId="3"/>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036CE34-F0E4-4EE8-B0C6-9FDEA2B170D9}" name="CAL_Other" displayName="CAL_Other" ref="A1:B12" totalsRowShown="0" headerRowBorderDxfId="2" tableBorderDxfId="1">
  <autoFilter ref="A1:B12" xr:uid="{9036CE34-F0E4-4EE8-B0C6-9FDEA2B170D9}"/>
  <tableColumns count="2">
    <tableColumn id="1" xr3:uid="{4B8176CE-569A-4800-B7F0-1716EEAE442B}" name="Other Funding"/>
    <tableColumn id="2" xr3:uid="{D3E30768-1DF8-4710-9855-C180BDE9A356}" name="Discretionary" dataDxfId="0"/>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9ED60-884C-489C-98A5-EB190B75B0EA}">
  <dimension ref="A1:O37"/>
  <sheetViews>
    <sheetView tabSelected="1" workbookViewId="0">
      <selection activeCell="J7" sqref="J7"/>
    </sheetView>
  </sheetViews>
  <sheetFormatPr defaultRowHeight="15" x14ac:dyDescent="0.25"/>
  <cols>
    <col min="1" max="1" width="39.5703125" customWidth="1"/>
    <col min="2" max="6" width="15.7109375" customWidth="1"/>
    <col min="8" max="8" width="23.140625" bestFit="1" customWidth="1"/>
    <col min="9" max="12" width="20.7109375" customWidth="1"/>
    <col min="13" max="13" width="23.28515625" bestFit="1" customWidth="1"/>
  </cols>
  <sheetData>
    <row r="1" spans="1:15" x14ac:dyDescent="0.25">
      <c r="A1" s="42" t="s">
        <v>0</v>
      </c>
      <c r="B1" s="43"/>
      <c r="C1" s="43"/>
      <c r="D1" s="43"/>
      <c r="E1" s="43"/>
      <c r="F1" s="44"/>
      <c r="N1" s="5"/>
      <c r="O1" s="5"/>
    </row>
    <row r="2" spans="1:15" x14ac:dyDescent="0.25">
      <c r="A2" s="28" t="s">
        <v>1</v>
      </c>
      <c r="B2" s="18" t="s">
        <v>2</v>
      </c>
      <c r="C2" s="18" t="s">
        <v>3</v>
      </c>
      <c r="D2" s="18" t="s">
        <v>4</v>
      </c>
      <c r="E2" s="18" t="s">
        <v>5</v>
      </c>
      <c r="F2" s="29" t="s">
        <v>6</v>
      </c>
    </row>
    <row r="3" spans="1:15" x14ac:dyDescent="0.25">
      <c r="A3" s="7" t="s">
        <v>7</v>
      </c>
      <c r="B3" s="8">
        <v>0</v>
      </c>
      <c r="C3" s="8">
        <v>0</v>
      </c>
      <c r="D3" s="8">
        <v>0</v>
      </c>
      <c r="E3" s="8">
        <v>0</v>
      </c>
      <c r="F3" s="8">
        <v>0</v>
      </c>
    </row>
    <row r="4" spans="1:15" x14ac:dyDescent="0.25">
      <c r="A4" s="7" t="s">
        <v>123</v>
      </c>
      <c r="B4" s="30">
        <f>D31-B31</f>
        <v>-17.10000000000025</v>
      </c>
      <c r="C4" s="8">
        <v>0</v>
      </c>
      <c r="D4" s="8">
        <v>0</v>
      </c>
      <c r="E4" s="8">
        <v>0</v>
      </c>
      <c r="F4" s="9">
        <v>0</v>
      </c>
    </row>
    <row r="5" spans="1:15" x14ac:dyDescent="0.25">
      <c r="A5" s="7" t="s">
        <v>8</v>
      </c>
      <c r="B5" s="8">
        <v>365.5</v>
      </c>
      <c r="C5" s="8">
        <v>376.93</v>
      </c>
      <c r="D5" s="8">
        <v>389</v>
      </c>
      <c r="E5" s="8">
        <v>401.61</v>
      </c>
      <c r="F5" s="9">
        <v>413.41</v>
      </c>
    </row>
    <row r="6" spans="1:15" x14ac:dyDescent="0.25">
      <c r="A6" s="7" t="s">
        <v>9</v>
      </c>
      <c r="B6" s="8">
        <v>26</v>
      </c>
      <c r="C6" s="8">
        <v>27</v>
      </c>
      <c r="D6" s="8">
        <v>28</v>
      </c>
      <c r="E6" s="8">
        <v>29</v>
      </c>
      <c r="F6" s="9">
        <v>30</v>
      </c>
    </row>
    <row r="7" spans="1:15" x14ac:dyDescent="0.25">
      <c r="A7" s="7" t="s">
        <v>10</v>
      </c>
      <c r="B7" s="8">
        <v>217.79420972784226</v>
      </c>
      <c r="C7" s="8">
        <v>228.25873168059456</v>
      </c>
      <c r="D7" s="8">
        <v>235.81684087519903</v>
      </c>
      <c r="E7" s="8">
        <v>244.24306548579057</v>
      </c>
      <c r="F7" s="9">
        <v>252.80880309088528</v>
      </c>
    </row>
    <row r="8" spans="1:15" x14ac:dyDescent="0.25">
      <c r="A8" s="7" t="s">
        <v>11</v>
      </c>
      <c r="B8" s="8">
        <v>111.5</v>
      </c>
      <c r="C8" s="8">
        <v>113.9</v>
      </c>
      <c r="D8" s="8">
        <v>116.5</v>
      </c>
      <c r="E8" s="8">
        <v>118.9</v>
      </c>
      <c r="F8" s="9">
        <v>121.4</v>
      </c>
    </row>
    <row r="9" spans="1:15" x14ac:dyDescent="0.25">
      <c r="A9" s="7" t="s">
        <v>12</v>
      </c>
      <c r="B9" s="8">
        <v>19.5</v>
      </c>
      <c r="C9" s="8">
        <v>19</v>
      </c>
      <c r="D9" s="8">
        <v>19.100000000000001</v>
      </c>
      <c r="E9" s="8">
        <v>18.5</v>
      </c>
      <c r="F9" s="9">
        <v>18.5</v>
      </c>
    </row>
    <row r="10" spans="1:15" x14ac:dyDescent="0.25">
      <c r="A10" s="7" t="s">
        <v>13</v>
      </c>
      <c r="B10" s="8">
        <v>2.2000000000000002</v>
      </c>
      <c r="C10" s="8">
        <v>2.2999999999999998</v>
      </c>
      <c r="D10" s="8">
        <v>2.2999999999999998</v>
      </c>
      <c r="E10" s="8">
        <v>2.2999999999999998</v>
      </c>
      <c r="F10" s="9">
        <v>2.4</v>
      </c>
      <c r="M10" s="8"/>
    </row>
    <row r="11" spans="1:15" x14ac:dyDescent="0.25">
      <c r="A11" s="7" t="s">
        <v>14</v>
      </c>
      <c r="B11" s="41">
        <f>SUBTOTAL(109,GF_Rev_Forecast[FY 26-27])</f>
        <v>725.39420972784205</v>
      </c>
      <c r="C11" s="6">
        <f>SUBTOTAL(109,GF_Rev_Forecast[FY 27-28])</f>
        <v>767.38873168059456</v>
      </c>
      <c r="D11" s="6">
        <f>SUBTOTAL(109,GF_Rev_Forecast[FY 28-29])</f>
        <v>790.71684087519895</v>
      </c>
      <c r="E11" s="6">
        <f>SUBTOTAL(109,GF_Rev_Forecast[FY 29-30])</f>
        <v>814.55306548579051</v>
      </c>
      <c r="F11" s="11">
        <f>SUBTOTAL(109,GF_Rev_Forecast[FY 30-31])</f>
        <v>838.51880309088529</v>
      </c>
    </row>
    <row r="12" spans="1:15" x14ac:dyDescent="0.25">
      <c r="A12" s="17" t="s">
        <v>122</v>
      </c>
      <c r="B12" s="27">
        <f>GF_Rev_Forecast[[#Totals],[FY 26-27]]-B4</f>
        <v>742.4942097278423</v>
      </c>
      <c r="C12" s="8"/>
      <c r="D12" s="8"/>
      <c r="E12" s="8"/>
      <c r="F12" s="8"/>
    </row>
    <row r="13" spans="1:15" x14ac:dyDescent="0.25">
      <c r="B13" s="8"/>
      <c r="C13" s="8"/>
      <c r="D13" s="8"/>
      <c r="E13" s="8"/>
      <c r="F13" s="8"/>
    </row>
    <row r="15" spans="1:15" x14ac:dyDescent="0.25">
      <c r="A15" s="42" t="s">
        <v>15</v>
      </c>
      <c r="B15" s="43"/>
      <c r="C15" s="43"/>
      <c r="D15" s="43"/>
      <c r="E15" s="43"/>
      <c r="F15" s="44"/>
    </row>
    <row r="16" spans="1:15" x14ac:dyDescent="0.25">
      <c r="A16" s="22" t="s">
        <v>16</v>
      </c>
      <c r="B16" s="21" t="s">
        <v>2</v>
      </c>
      <c r="C16" s="21" t="s">
        <v>3</v>
      </c>
      <c r="D16" s="21" t="s">
        <v>4</v>
      </c>
      <c r="E16" s="21" t="s">
        <v>5</v>
      </c>
      <c r="F16" s="23" t="s">
        <v>6</v>
      </c>
    </row>
    <row r="17" spans="1:6" x14ac:dyDescent="0.25">
      <c r="A17" s="7" t="s">
        <v>17</v>
      </c>
      <c r="B17" s="8">
        <v>725.43083067649638</v>
      </c>
      <c r="C17" s="40">
        <f>GF_Rev_Forecast[[#Totals],[FY 27-28]]</f>
        <v>767.38873168059456</v>
      </c>
      <c r="D17" s="40">
        <f>GF_Rev_Forecast[[#Totals],[FY 28-29]]</f>
        <v>790.71684087519895</v>
      </c>
      <c r="E17" s="40">
        <f>GF_Rev_Forecast[[#Totals],[FY 29-30]]</f>
        <v>814.55306548579051</v>
      </c>
      <c r="F17" s="40">
        <f>GF_Rev_Forecast[[#Totals],[FY 30-31]]</f>
        <v>838.51880309088529</v>
      </c>
    </row>
    <row r="18" spans="1:6" x14ac:dyDescent="0.25">
      <c r="A18" s="10" t="s">
        <v>18</v>
      </c>
      <c r="B18" s="38">
        <v>793.20068529013804</v>
      </c>
      <c r="C18" s="38">
        <v>804.04655673534296</v>
      </c>
      <c r="D18" s="38">
        <v>826.72547709197045</v>
      </c>
      <c r="E18" s="38">
        <v>826.07189867426428</v>
      </c>
      <c r="F18" s="39">
        <v>842.07455415062623</v>
      </c>
    </row>
    <row r="19" spans="1:6" x14ac:dyDescent="0.25">
      <c r="A19" s="10" t="s">
        <v>19</v>
      </c>
      <c r="B19" s="6">
        <f>B17-B18</f>
        <v>-67.769854613641655</v>
      </c>
      <c r="C19" s="6">
        <f t="shared" ref="C19:F19" si="0">C17-C18</f>
        <v>-36.6578250547484</v>
      </c>
      <c r="D19" s="6">
        <f t="shared" si="0"/>
        <v>-36.008636216771492</v>
      </c>
      <c r="E19" s="6">
        <f t="shared" si="0"/>
        <v>-11.518833188473764</v>
      </c>
      <c r="F19" s="11">
        <f t="shared" si="0"/>
        <v>-3.5557510597409419</v>
      </c>
    </row>
    <row r="20" spans="1:6" x14ac:dyDescent="0.25">
      <c r="B20" s="8"/>
      <c r="C20" s="8"/>
      <c r="D20" s="8"/>
      <c r="E20" s="8"/>
      <c r="F20" s="8"/>
    </row>
    <row r="21" spans="1:6" x14ac:dyDescent="0.25">
      <c r="B21" s="8"/>
      <c r="C21" s="8"/>
      <c r="D21" s="8"/>
      <c r="E21" s="8"/>
      <c r="F21" s="8"/>
    </row>
    <row r="23" spans="1:6" x14ac:dyDescent="0.25">
      <c r="A23" s="45" t="s">
        <v>20</v>
      </c>
      <c r="B23" s="46"/>
      <c r="C23" s="46"/>
      <c r="D23" s="46"/>
      <c r="E23" s="46"/>
    </row>
    <row r="24" spans="1:6" ht="45" x14ac:dyDescent="0.25">
      <c r="A24" s="24" t="s">
        <v>1</v>
      </c>
      <c r="B24" s="19" t="s">
        <v>21</v>
      </c>
      <c r="C24" s="20" t="s">
        <v>22</v>
      </c>
      <c r="D24" s="36" t="s">
        <v>119</v>
      </c>
      <c r="E24" s="25" t="s">
        <v>120</v>
      </c>
    </row>
    <row r="25" spans="1:6" x14ac:dyDescent="0.25">
      <c r="A25" s="7" t="s">
        <v>8</v>
      </c>
      <c r="B25" s="8">
        <v>353</v>
      </c>
      <c r="C25" s="9">
        <v>351.22399999999999</v>
      </c>
      <c r="D25" s="9">
        <v>351.2</v>
      </c>
      <c r="E25" s="9">
        <f>330463716/1000000</f>
        <v>330.46371599999998</v>
      </c>
    </row>
    <row r="26" spans="1:6" x14ac:dyDescent="0.25">
      <c r="A26" s="7" t="s">
        <v>9</v>
      </c>
      <c r="B26" s="8">
        <v>28</v>
      </c>
      <c r="C26" s="9">
        <v>25</v>
      </c>
      <c r="D26" s="9">
        <v>25.9</v>
      </c>
      <c r="E26" s="9">
        <f>14788787.55/1000000</f>
        <v>14.78878755</v>
      </c>
    </row>
    <row r="27" spans="1:6" x14ac:dyDescent="0.25">
      <c r="A27" s="7" t="s">
        <v>10</v>
      </c>
      <c r="B27" s="8">
        <v>220</v>
      </c>
      <c r="C27" s="9">
        <v>219.96</v>
      </c>
      <c r="D27" s="9">
        <v>220</v>
      </c>
      <c r="E27" s="9">
        <f>52427525.27/1000000</f>
        <v>52.427525270000004</v>
      </c>
    </row>
    <row r="28" spans="1:6" x14ac:dyDescent="0.25">
      <c r="A28" s="7" t="s">
        <v>11</v>
      </c>
      <c r="B28" s="8">
        <v>113.1</v>
      </c>
      <c r="C28" s="9">
        <v>105.9</v>
      </c>
      <c r="D28" s="9">
        <v>102.5</v>
      </c>
      <c r="E28" s="9">
        <f>44565692.38/1000000</f>
        <v>44.565692380000002</v>
      </c>
    </row>
    <row r="29" spans="1:6" x14ac:dyDescent="0.25">
      <c r="A29" s="7" t="s">
        <v>12</v>
      </c>
      <c r="B29" s="8">
        <v>21</v>
      </c>
      <c r="C29" s="9">
        <v>20.100000000000001</v>
      </c>
      <c r="D29" s="9">
        <v>19.3</v>
      </c>
      <c r="E29" s="9">
        <f>10214050.64/1000000</f>
        <v>10.21405064</v>
      </c>
    </row>
    <row r="30" spans="1:6" x14ac:dyDescent="0.25">
      <c r="A30" s="10" t="s">
        <v>13</v>
      </c>
      <c r="B30" s="6">
        <v>3.7</v>
      </c>
      <c r="C30" s="11">
        <v>3</v>
      </c>
      <c r="D30" s="11">
        <v>2.8</v>
      </c>
      <c r="E30" s="9">
        <f>302163.51/1000000</f>
        <v>0.30216351000000002</v>
      </c>
    </row>
    <row r="31" spans="1:6" x14ac:dyDescent="0.25">
      <c r="A31" s="17" t="s">
        <v>23</v>
      </c>
      <c r="B31" s="26">
        <f>SUM(B25:B30)</f>
        <v>738.80000000000007</v>
      </c>
      <c r="C31" s="35">
        <f>SUM(C25:C30)</f>
        <v>725.18399999999997</v>
      </c>
      <c r="D31" s="35">
        <f>SUM(D25:D30)</f>
        <v>721.69999999999982</v>
      </c>
      <c r="E31" s="27">
        <f t="shared" ref="E31" si="1">SUM(E25:E30)</f>
        <v>452.76193534999993</v>
      </c>
    </row>
    <row r="33" spans="1:6" ht="57" customHeight="1" x14ac:dyDescent="0.25">
      <c r="A33" s="47" t="s">
        <v>121</v>
      </c>
      <c r="B33" s="47"/>
      <c r="C33" s="47"/>
      <c r="D33" s="47"/>
      <c r="E33" s="47"/>
      <c r="F33" s="47"/>
    </row>
    <row r="37" spans="1:6" x14ac:dyDescent="0.25">
      <c r="C37" s="37"/>
    </row>
  </sheetData>
  <mergeCells count="4">
    <mergeCell ref="A1:F1"/>
    <mergeCell ref="A15:F15"/>
    <mergeCell ref="A23:E23"/>
    <mergeCell ref="A33:F33"/>
  </mergeCells>
  <phoneticPr fontId="6" type="noConversion"/>
  <pageMargins left="0.7" right="0.7" top="0.75" bottom="0.75" header="0.3" footer="0.3"/>
  <pageSetup orientation="portrait" r:id="rId1"/>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7C680-4ADC-4F15-BD93-F38A19C9E797}">
  <dimension ref="A1:D48"/>
  <sheetViews>
    <sheetView workbookViewId="0"/>
  </sheetViews>
  <sheetFormatPr defaultColWidth="8.5703125" defaultRowHeight="15" x14ac:dyDescent="0.25"/>
  <cols>
    <col min="1" max="1" width="57.140625" bestFit="1" customWidth="1"/>
    <col min="2" max="2" width="17.28515625" bestFit="1" customWidth="1"/>
    <col min="3" max="3" width="14.28515625" bestFit="1" customWidth="1"/>
    <col min="4" max="4" width="14.140625" bestFit="1" customWidth="1"/>
    <col min="5" max="5" width="17.5703125" customWidth="1"/>
  </cols>
  <sheetData>
    <row r="1" spans="1:4" ht="15.75" thickBot="1" x14ac:dyDescent="0.3">
      <c r="A1" s="13" t="s">
        <v>24</v>
      </c>
      <c r="B1" s="14" t="s">
        <v>25</v>
      </c>
      <c r="C1" s="14" t="s">
        <v>26</v>
      </c>
      <c r="D1" s="14" t="s">
        <v>27</v>
      </c>
    </row>
    <row r="2" spans="1:4" x14ac:dyDescent="0.25">
      <c r="A2" t="s">
        <v>28</v>
      </c>
      <c r="B2" s="1">
        <v>0</v>
      </c>
      <c r="C2" s="1">
        <v>11125700.363157244</v>
      </c>
      <c r="D2" s="1">
        <v>11125700.363157244</v>
      </c>
    </row>
    <row r="3" spans="1:4" x14ac:dyDescent="0.25">
      <c r="A3" t="s">
        <v>29</v>
      </c>
      <c r="B3" s="1">
        <v>0</v>
      </c>
      <c r="C3" s="1">
        <v>14327678.548929486</v>
      </c>
      <c r="D3" s="1">
        <v>14327678.548929486</v>
      </c>
    </row>
    <row r="4" spans="1:4" x14ac:dyDescent="0.25">
      <c r="A4" t="s">
        <v>30</v>
      </c>
      <c r="B4" s="1">
        <v>0</v>
      </c>
      <c r="C4" s="1">
        <v>4043412.7373994263</v>
      </c>
      <c r="D4" s="1">
        <v>4043412.7373994263</v>
      </c>
    </row>
    <row r="5" spans="1:4" x14ac:dyDescent="0.25">
      <c r="A5" t="s">
        <v>31</v>
      </c>
      <c r="B5" s="1">
        <v>9724685.8885310218</v>
      </c>
      <c r="C5" s="1">
        <v>1057408.2756171194</v>
      </c>
      <c r="D5" s="1">
        <v>10782094.164148141</v>
      </c>
    </row>
    <row r="6" spans="1:4" x14ac:dyDescent="0.25">
      <c r="A6" t="s">
        <v>32</v>
      </c>
      <c r="B6" s="1">
        <v>0</v>
      </c>
      <c r="C6" s="1">
        <v>20644116</v>
      </c>
      <c r="D6" s="1">
        <v>20644116</v>
      </c>
    </row>
    <row r="7" spans="1:4" x14ac:dyDescent="0.25">
      <c r="A7" t="s">
        <v>33</v>
      </c>
      <c r="B7" s="1">
        <v>3779640.9221649915</v>
      </c>
      <c r="C7" s="1">
        <v>16982111.170307223</v>
      </c>
      <c r="D7" s="1">
        <v>20761752.092472214</v>
      </c>
    </row>
    <row r="8" spans="1:4" x14ac:dyDescent="0.25">
      <c r="A8" t="s">
        <v>34</v>
      </c>
      <c r="B8" s="1">
        <v>4208112.3143920116</v>
      </c>
      <c r="C8" s="1">
        <v>662962.57325519435</v>
      </c>
      <c r="D8" s="1">
        <v>4871074.887647206</v>
      </c>
    </row>
    <row r="9" spans="1:4" x14ac:dyDescent="0.25">
      <c r="A9" t="s">
        <v>35</v>
      </c>
      <c r="B9" s="1">
        <v>0</v>
      </c>
      <c r="C9" s="1">
        <v>5185237.4831503676</v>
      </c>
      <c r="D9" s="1">
        <v>5185237.4831503676</v>
      </c>
    </row>
    <row r="10" spans="1:4" x14ac:dyDescent="0.25">
      <c r="A10" t="s">
        <v>36</v>
      </c>
      <c r="B10" s="1">
        <v>163834486.78861007</v>
      </c>
      <c r="C10" s="1">
        <v>0</v>
      </c>
      <c r="D10" s="1">
        <v>163834486.78861007</v>
      </c>
    </row>
    <row r="11" spans="1:4" x14ac:dyDescent="0.25">
      <c r="A11" t="s">
        <v>37</v>
      </c>
      <c r="B11" s="1">
        <v>0</v>
      </c>
      <c r="C11" s="1">
        <v>2856851.2733194288</v>
      </c>
      <c r="D11" s="1">
        <v>2856851.2733194288</v>
      </c>
    </row>
    <row r="12" spans="1:4" x14ac:dyDescent="0.25">
      <c r="A12" t="s">
        <v>38</v>
      </c>
      <c r="B12" s="1">
        <v>12246668.130708184</v>
      </c>
      <c r="C12" s="1">
        <v>0</v>
      </c>
      <c r="D12" s="1">
        <v>12246668.130708184</v>
      </c>
    </row>
    <row r="13" spans="1:4" x14ac:dyDescent="0.25">
      <c r="A13" t="s">
        <v>39</v>
      </c>
      <c r="B13" s="1">
        <v>0</v>
      </c>
      <c r="C13" s="1">
        <v>16295080.403289679</v>
      </c>
      <c r="D13" s="1">
        <v>16295080.403289679</v>
      </c>
    </row>
    <row r="14" spans="1:4" x14ac:dyDescent="0.25">
      <c r="A14" t="s">
        <v>40</v>
      </c>
      <c r="B14" s="1">
        <v>9144447.8402278163</v>
      </c>
      <c r="C14" s="1">
        <v>4188137.9861481078</v>
      </c>
      <c r="D14" s="1">
        <v>13332585.826375924</v>
      </c>
    </row>
    <row r="15" spans="1:4" x14ac:dyDescent="0.25">
      <c r="A15" t="s">
        <v>41</v>
      </c>
      <c r="B15" s="1">
        <v>0</v>
      </c>
      <c r="C15" s="1">
        <v>3673130.7139266231</v>
      </c>
      <c r="D15" s="1">
        <v>3673130.7139266231</v>
      </c>
    </row>
    <row r="16" spans="1:4" x14ac:dyDescent="0.25">
      <c r="A16" t="s">
        <v>42</v>
      </c>
      <c r="B16" s="1">
        <v>4757669.6930544656</v>
      </c>
      <c r="C16" s="1">
        <v>434845.00976735918</v>
      </c>
      <c r="D16" s="1">
        <v>5192514.7028218247</v>
      </c>
    </row>
    <row r="17" spans="1:4" x14ac:dyDescent="0.25">
      <c r="A17" t="s">
        <v>43</v>
      </c>
      <c r="B17" s="1">
        <v>0</v>
      </c>
      <c r="C17" s="1">
        <v>3383117.3183139944</v>
      </c>
      <c r="D17" s="1">
        <v>3383117.3183139944</v>
      </c>
    </row>
    <row r="18" spans="1:4" x14ac:dyDescent="0.25">
      <c r="A18" t="s">
        <v>44</v>
      </c>
      <c r="B18" s="1">
        <v>4734348.4144438868</v>
      </c>
      <c r="C18" s="1">
        <v>0</v>
      </c>
      <c r="D18" s="1">
        <v>4734348.4144438868</v>
      </c>
    </row>
    <row r="19" spans="1:4" x14ac:dyDescent="0.25">
      <c r="A19" t="s">
        <v>45</v>
      </c>
      <c r="B19" s="1">
        <v>81326098.86645171</v>
      </c>
      <c r="C19" s="1">
        <v>0</v>
      </c>
      <c r="D19" s="1">
        <v>81326098.86645171</v>
      </c>
    </row>
    <row r="20" spans="1:4" x14ac:dyDescent="0.25">
      <c r="A20" t="s">
        <v>46</v>
      </c>
      <c r="B20" s="1">
        <v>265729056.67382506</v>
      </c>
      <c r="C20" s="1">
        <v>0</v>
      </c>
      <c r="D20" s="1">
        <v>265729056.67382506</v>
      </c>
    </row>
    <row r="21" spans="1:4" x14ac:dyDescent="0.25">
      <c r="A21" t="s">
        <v>47</v>
      </c>
      <c r="B21" s="1">
        <v>14765514.915384872</v>
      </c>
      <c r="C21" s="1">
        <v>0</v>
      </c>
      <c r="D21" s="1">
        <v>14765514.915384872</v>
      </c>
    </row>
    <row r="22" spans="1:4" x14ac:dyDescent="0.25">
      <c r="A22" t="s">
        <v>48</v>
      </c>
      <c r="B22" s="1">
        <v>21685327.947249003</v>
      </c>
      <c r="C22" s="1">
        <v>658899.70697922213</v>
      </c>
      <c r="D22" s="1">
        <v>22344227.654228225</v>
      </c>
    </row>
    <row r="23" spans="1:4" x14ac:dyDescent="0.25">
      <c r="A23" t="s">
        <v>49</v>
      </c>
      <c r="B23" s="1">
        <v>0</v>
      </c>
      <c r="C23" s="1">
        <v>634471.32345377165</v>
      </c>
      <c r="D23" s="1">
        <v>634471.32345377165</v>
      </c>
    </row>
    <row r="24" spans="1:4" x14ac:dyDescent="0.25">
      <c r="A24" t="s">
        <v>50</v>
      </c>
      <c r="B24" s="1">
        <v>11330549.874999998</v>
      </c>
      <c r="C24" s="1">
        <v>0</v>
      </c>
      <c r="D24" s="1">
        <v>11330549.874999998</v>
      </c>
    </row>
    <row r="25" spans="1:4" x14ac:dyDescent="0.25">
      <c r="A25" t="s">
        <v>51</v>
      </c>
      <c r="B25" s="1">
        <v>25229267.222138193</v>
      </c>
      <c r="C25" s="1">
        <v>0</v>
      </c>
      <c r="D25" s="1">
        <v>25229267.222138193</v>
      </c>
    </row>
    <row r="26" spans="1:4" x14ac:dyDescent="0.25">
      <c r="A26" t="s">
        <v>52</v>
      </c>
      <c r="B26" s="1">
        <v>7269</v>
      </c>
      <c r="C26" s="1">
        <v>0</v>
      </c>
      <c r="D26" s="1">
        <v>7269</v>
      </c>
    </row>
    <row r="27" spans="1:4" x14ac:dyDescent="0.25">
      <c r="A27" t="s">
        <v>53</v>
      </c>
      <c r="B27" s="1">
        <v>59579</v>
      </c>
      <c r="C27" s="1">
        <v>0</v>
      </c>
      <c r="D27" s="1">
        <f>CAL_Bureaus[[#This Row],[Discretionary]]</f>
        <v>59579</v>
      </c>
    </row>
    <row r="28" spans="1:4" x14ac:dyDescent="0.25">
      <c r="A28" t="s">
        <v>54</v>
      </c>
      <c r="B28" s="1">
        <v>29690</v>
      </c>
      <c r="C28" s="1">
        <v>0</v>
      </c>
      <c r="D28" s="1">
        <f>CAL_Bureaus[[#This Row],[Discretionary]]</f>
        <v>29690</v>
      </c>
    </row>
    <row r="29" spans="1:4" x14ac:dyDescent="0.25">
      <c r="A29" t="s">
        <v>114</v>
      </c>
      <c r="B29" s="1">
        <v>6198504.8552000001</v>
      </c>
      <c r="C29" s="1">
        <v>387046.26176522812</v>
      </c>
      <c r="D29" s="1">
        <v>6585551.1169652287</v>
      </c>
    </row>
    <row r="30" spans="1:4" x14ac:dyDescent="0.25">
      <c r="A30" s="12" t="s">
        <v>115</v>
      </c>
      <c r="B30" s="1">
        <v>97624691.396981448</v>
      </c>
      <c r="C30" s="1">
        <v>0</v>
      </c>
      <c r="D30" s="1">
        <v>97624691.396981448</v>
      </c>
    </row>
    <row r="31" spans="1:4" x14ac:dyDescent="0.25">
      <c r="A31" s="12" t="s">
        <v>116</v>
      </c>
      <c r="B31" s="1">
        <v>56706787.545775428</v>
      </c>
      <c r="C31" s="1">
        <v>0</v>
      </c>
      <c r="D31" s="1">
        <v>56706787.545775428</v>
      </c>
    </row>
    <row r="32" spans="1:4" x14ac:dyDescent="0.25">
      <c r="A32" s="15" t="s">
        <v>55</v>
      </c>
      <c r="B32" s="16">
        <v>793122397.29013824</v>
      </c>
      <c r="C32" s="16">
        <v>106540207.14877945</v>
      </c>
      <c r="D32" s="16">
        <v>899662604</v>
      </c>
    </row>
    <row r="34" spans="2:4" x14ac:dyDescent="0.25">
      <c r="B34" s="1"/>
      <c r="C34" s="1"/>
      <c r="D34" s="1"/>
    </row>
    <row r="35" spans="2:4" x14ac:dyDescent="0.25">
      <c r="C35" s="1"/>
    </row>
    <row r="44" spans="2:4" x14ac:dyDescent="0.25">
      <c r="B44" s="1"/>
    </row>
    <row r="45" spans="2:4" x14ac:dyDescent="0.25">
      <c r="B45" s="1"/>
    </row>
    <row r="46" spans="2:4" x14ac:dyDescent="0.25">
      <c r="B46" s="2"/>
    </row>
    <row r="47" spans="2:4" x14ac:dyDescent="0.25">
      <c r="B47" s="2"/>
    </row>
    <row r="48" spans="2:4" x14ac:dyDescent="0.25">
      <c r="B48" s="2"/>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6A631-0FF0-4B75-85AE-18517B7798C3}">
  <dimension ref="A1:G26"/>
  <sheetViews>
    <sheetView workbookViewId="0"/>
  </sheetViews>
  <sheetFormatPr defaultColWidth="8.5703125" defaultRowHeight="15" x14ac:dyDescent="0.25"/>
  <cols>
    <col min="1" max="1" width="40.140625" bestFit="1" customWidth="1"/>
    <col min="2" max="2" width="17.28515625" bestFit="1" customWidth="1"/>
    <col min="3" max="3" width="26" customWidth="1"/>
    <col min="4" max="4" width="40" bestFit="1" customWidth="1"/>
    <col min="7" max="7" width="12.5703125" bestFit="1" customWidth="1"/>
    <col min="10" max="10" width="15.5703125" bestFit="1" customWidth="1"/>
  </cols>
  <sheetData>
    <row r="1" spans="1:7" ht="15.75" thickBot="1" x14ac:dyDescent="0.3">
      <c r="A1" s="13" t="s">
        <v>56</v>
      </c>
      <c r="B1" s="14" t="s">
        <v>25</v>
      </c>
    </row>
    <row r="2" spans="1:7" x14ac:dyDescent="0.25">
      <c r="A2" s="31" t="s">
        <v>57</v>
      </c>
      <c r="B2" s="32">
        <v>1342700.7999999998</v>
      </c>
      <c r="C2" s="1"/>
      <c r="E2" s="1"/>
      <c r="G2" s="1"/>
    </row>
    <row r="3" spans="1:7" x14ac:dyDescent="0.25">
      <c r="A3" s="31" t="s">
        <v>58</v>
      </c>
      <c r="B3" s="32">
        <v>1761894</v>
      </c>
      <c r="C3" s="1"/>
      <c r="E3" s="1"/>
      <c r="G3" s="1"/>
    </row>
    <row r="4" spans="1:7" x14ac:dyDescent="0.25">
      <c r="A4" s="31" t="s">
        <v>117</v>
      </c>
      <c r="B4" s="32">
        <v>1058411.1429246825</v>
      </c>
      <c r="C4" s="1"/>
      <c r="E4" s="1"/>
      <c r="G4" s="1"/>
    </row>
    <row r="5" spans="1:7" x14ac:dyDescent="0.25">
      <c r="A5" s="31" t="s">
        <v>59</v>
      </c>
      <c r="B5" s="32">
        <v>165000</v>
      </c>
      <c r="C5" s="1"/>
      <c r="E5" s="1"/>
      <c r="G5" s="1"/>
    </row>
    <row r="6" spans="1:7" x14ac:dyDescent="0.25">
      <c r="A6" s="31" t="s">
        <v>60</v>
      </c>
      <c r="B6" s="32">
        <v>1133158.453112399</v>
      </c>
      <c r="C6" s="1"/>
      <c r="E6" s="1"/>
      <c r="G6" s="1"/>
    </row>
    <row r="7" spans="1:7" x14ac:dyDescent="0.25">
      <c r="A7" s="31" t="s">
        <v>61</v>
      </c>
      <c r="B7" s="32">
        <v>656945.52057701128</v>
      </c>
      <c r="C7" s="1"/>
      <c r="E7" s="1"/>
      <c r="G7" s="1"/>
    </row>
    <row r="8" spans="1:7" x14ac:dyDescent="0.25">
      <c r="A8" s="31" t="s">
        <v>62</v>
      </c>
      <c r="B8" s="32">
        <v>207752.74876887436</v>
      </c>
      <c r="C8" s="1"/>
      <c r="E8" s="1"/>
      <c r="G8" s="1"/>
    </row>
    <row r="9" spans="1:7" x14ac:dyDescent="0.25">
      <c r="A9" s="31" t="s">
        <v>63</v>
      </c>
      <c r="B9" s="32">
        <v>45760467.148779474</v>
      </c>
      <c r="C9" s="1"/>
      <c r="E9" s="1"/>
      <c r="G9" s="1"/>
    </row>
    <row r="10" spans="1:7" x14ac:dyDescent="0.25">
      <c r="A10" s="31" t="s">
        <v>64</v>
      </c>
      <c r="B10" s="32">
        <v>84344.082782285783</v>
      </c>
      <c r="C10" s="1"/>
      <c r="E10" s="1"/>
      <c r="G10" s="1"/>
    </row>
    <row r="11" spans="1:7" x14ac:dyDescent="0.25">
      <c r="A11" s="31" t="s">
        <v>65</v>
      </c>
      <c r="B11" s="32">
        <v>11493.829036729876</v>
      </c>
      <c r="C11" s="1"/>
      <c r="E11" s="1"/>
      <c r="G11" s="1"/>
    </row>
    <row r="12" spans="1:7" x14ac:dyDescent="0.25">
      <c r="A12" s="31" t="s">
        <v>66</v>
      </c>
      <c r="B12" s="32">
        <v>545364</v>
      </c>
      <c r="C12" s="1"/>
      <c r="E12" s="1"/>
      <c r="G12" s="1"/>
    </row>
    <row r="13" spans="1:7" x14ac:dyDescent="0.25">
      <c r="A13" s="31" t="s">
        <v>118</v>
      </c>
      <c r="B13" s="32">
        <v>675103.95</v>
      </c>
      <c r="C13" s="1"/>
      <c r="E13" s="1"/>
      <c r="G13" s="1"/>
    </row>
    <row r="14" spans="1:7" x14ac:dyDescent="0.25">
      <c r="A14" s="31" t="s">
        <v>67</v>
      </c>
      <c r="B14" s="32">
        <v>51651.595000000001</v>
      </c>
      <c r="C14" s="1"/>
      <c r="E14" s="1"/>
      <c r="G14" s="1"/>
    </row>
    <row r="15" spans="1:7" x14ac:dyDescent="0.25">
      <c r="A15" s="31" t="s">
        <v>68</v>
      </c>
      <c r="B15" s="32">
        <v>3484970.5</v>
      </c>
      <c r="C15" s="1"/>
      <c r="E15" s="1"/>
      <c r="G15" s="1"/>
    </row>
    <row r="16" spans="1:7" x14ac:dyDescent="0.25">
      <c r="A16" s="31" t="s">
        <v>69</v>
      </c>
      <c r="B16" s="32">
        <v>398984.32499999995</v>
      </c>
      <c r="C16" s="1"/>
      <c r="E16" s="1"/>
      <c r="G16" s="1"/>
    </row>
    <row r="17" spans="1:7" x14ac:dyDescent="0.25">
      <c r="A17" s="31" t="s">
        <v>70</v>
      </c>
      <c r="B17" s="32">
        <v>810000</v>
      </c>
      <c r="C17" s="1"/>
      <c r="E17" s="1"/>
      <c r="G17" s="1"/>
    </row>
    <row r="18" spans="1:7" x14ac:dyDescent="0.25">
      <c r="A18" s="31" t="s">
        <v>71</v>
      </c>
      <c r="B18" s="32">
        <v>127500</v>
      </c>
      <c r="C18" s="1"/>
      <c r="E18" s="1"/>
      <c r="G18" s="1"/>
    </row>
    <row r="19" spans="1:7" x14ac:dyDescent="0.25">
      <c r="A19" s="31" t="s">
        <v>72</v>
      </c>
      <c r="B19" s="32">
        <v>30516405.34</v>
      </c>
      <c r="C19" s="1"/>
      <c r="E19" s="1"/>
      <c r="G19" s="1"/>
    </row>
    <row r="20" spans="1:7" x14ac:dyDescent="0.25">
      <c r="A20" s="31" t="s">
        <v>73</v>
      </c>
      <c r="B20" s="32">
        <v>0</v>
      </c>
      <c r="C20" s="1"/>
      <c r="E20" s="1"/>
      <c r="G20" s="1"/>
    </row>
    <row r="21" spans="1:7" x14ac:dyDescent="0.25">
      <c r="A21" s="31" t="s">
        <v>74</v>
      </c>
      <c r="B21" s="32">
        <v>4719294</v>
      </c>
      <c r="C21" s="1"/>
      <c r="E21" s="1"/>
      <c r="G21" s="1"/>
    </row>
    <row r="22" spans="1:7" x14ac:dyDescent="0.25">
      <c r="A22" s="31" t="s">
        <v>75</v>
      </c>
      <c r="B22" s="32">
        <v>2490209</v>
      </c>
      <c r="C22" s="1"/>
      <c r="E22" s="1"/>
      <c r="G22" s="1"/>
    </row>
    <row r="23" spans="1:7" x14ac:dyDescent="0.25">
      <c r="A23" s="31" t="s">
        <v>76</v>
      </c>
      <c r="B23" s="32">
        <v>76553</v>
      </c>
      <c r="C23" s="1"/>
      <c r="E23" s="1"/>
      <c r="G23" s="1"/>
    </row>
    <row r="24" spans="1:7" x14ac:dyDescent="0.25">
      <c r="A24" s="31" t="s">
        <v>77</v>
      </c>
      <c r="B24" s="32">
        <v>1338378.1109999998</v>
      </c>
      <c r="C24" s="1"/>
      <c r="E24" s="1"/>
      <c r="G24" s="1"/>
    </row>
    <row r="25" spans="1:7" x14ac:dyDescent="0.25">
      <c r="A25" s="31" t="s">
        <v>78</v>
      </c>
      <c r="B25" s="32">
        <v>208109.84999999998</v>
      </c>
      <c r="C25" s="1"/>
    </row>
    <row r="26" spans="1:7" ht="15.75" thickBot="1" x14ac:dyDescent="0.3">
      <c r="A26" s="33" t="s">
        <v>79</v>
      </c>
      <c r="B26" s="34">
        <v>97624691.396981448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0FB50-E5CF-4F57-AFDC-DB8C521755ED}">
  <dimension ref="A1:H22"/>
  <sheetViews>
    <sheetView workbookViewId="0"/>
  </sheetViews>
  <sheetFormatPr defaultColWidth="8.5703125" defaultRowHeight="15" x14ac:dyDescent="0.25"/>
  <cols>
    <col min="1" max="1" width="36.7109375" bestFit="1" customWidth="1"/>
    <col min="2" max="2" width="17.28515625" bestFit="1" customWidth="1"/>
    <col min="3" max="3" width="14.28515625" bestFit="1" customWidth="1"/>
    <col min="4" max="4" width="11.42578125" customWidth="1"/>
    <col min="5" max="5" width="10" bestFit="1" customWidth="1"/>
    <col min="6" max="6" width="14.42578125" bestFit="1" customWidth="1"/>
    <col min="8" max="8" width="10.42578125" customWidth="1"/>
  </cols>
  <sheetData>
    <row r="1" spans="1:8" ht="15.75" thickBot="1" x14ac:dyDescent="0.3">
      <c r="A1" s="13" t="s">
        <v>80</v>
      </c>
      <c r="B1" s="14" t="s">
        <v>25</v>
      </c>
      <c r="C1" s="14" t="s">
        <v>26</v>
      </c>
    </row>
    <row r="2" spans="1:8" x14ac:dyDescent="0.25">
      <c r="A2" t="s">
        <v>81</v>
      </c>
      <c r="B2" s="1">
        <v>0</v>
      </c>
      <c r="C2" s="1">
        <v>387046.26176522812</v>
      </c>
      <c r="D2" s="1"/>
      <c r="E2" s="1"/>
      <c r="F2" s="3"/>
      <c r="G2" s="1"/>
      <c r="H2" s="1"/>
    </row>
    <row r="3" spans="1:8" x14ac:dyDescent="0.25">
      <c r="A3" t="s">
        <v>82</v>
      </c>
      <c r="B3" s="1">
        <v>214982.47499999998</v>
      </c>
      <c r="C3" s="1">
        <v>0</v>
      </c>
      <c r="D3" s="1"/>
      <c r="F3" s="3"/>
      <c r="G3" s="1"/>
      <c r="H3" s="1"/>
    </row>
    <row r="4" spans="1:8" x14ac:dyDescent="0.25">
      <c r="A4" t="s">
        <v>83</v>
      </c>
      <c r="B4" s="1">
        <v>5000</v>
      </c>
      <c r="C4" s="1">
        <v>0</v>
      </c>
      <c r="D4" s="1"/>
      <c r="F4" s="3"/>
      <c r="G4" s="1"/>
      <c r="H4" s="1"/>
    </row>
    <row r="5" spans="1:8" x14ac:dyDescent="0.25">
      <c r="A5" t="s">
        <v>84</v>
      </c>
      <c r="B5" s="1">
        <v>2000</v>
      </c>
      <c r="C5" s="1">
        <v>0</v>
      </c>
      <c r="D5" s="1"/>
      <c r="F5" s="3"/>
      <c r="G5" s="1"/>
      <c r="H5" s="1"/>
    </row>
    <row r="6" spans="1:8" x14ac:dyDescent="0.25">
      <c r="A6" t="s">
        <v>85</v>
      </c>
      <c r="B6" s="1">
        <v>26380.424999999999</v>
      </c>
      <c r="C6" s="1">
        <v>0</v>
      </c>
      <c r="D6" s="1"/>
      <c r="F6" s="3"/>
      <c r="G6" s="1"/>
      <c r="H6" s="1"/>
    </row>
    <row r="7" spans="1:8" x14ac:dyDescent="0.25">
      <c r="A7" t="s">
        <v>86</v>
      </c>
      <c r="B7" s="1">
        <v>45125</v>
      </c>
      <c r="C7" s="1">
        <v>0</v>
      </c>
      <c r="D7" s="1"/>
      <c r="F7" s="3"/>
      <c r="G7" s="1"/>
      <c r="H7" s="1"/>
    </row>
    <row r="8" spans="1:8" x14ac:dyDescent="0.25">
      <c r="A8" t="s">
        <v>87</v>
      </c>
      <c r="B8" s="1">
        <v>1242353.4552000002</v>
      </c>
      <c r="C8" s="1">
        <v>0</v>
      </c>
      <c r="D8" s="1"/>
      <c r="F8" s="3"/>
      <c r="G8" s="1"/>
      <c r="H8" s="1"/>
    </row>
    <row r="9" spans="1:8" x14ac:dyDescent="0.25">
      <c r="A9" t="s">
        <v>88</v>
      </c>
      <c r="B9" s="1">
        <v>617409.77499999991</v>
      </c>
      <c r="C9" s="1">
        <v>0</v>
      </c>
      <c r="D9" s="1"/>
      <c r="F9" s="3"/>
      <c r="G9" s="1"/>
      <c r="H9" s="1"/>
    </row>
    <row r="10" spans="1:8" x14ac:dyDescent="0.25">
      <c r="A10" t="s">
        <v>89</v>
      </c>
      <c r="B10" s="1">
        <v>88153.074999999997</v>
      </c>
      <c r="C10" s="1">
        <v>0</v>
      </c>
      <c r="D10" s="1"/>
      <c r="F10" s="3"/>
      <c r="G10" s="1"/>
      <c r="H10" s="1"/>
    </row>
    <row r="11" spans="1:8" x14ac:dyDescent="0.25">
      <c r="A11" t="s">
        <v>90</v>
      </c>
      <c r="B11" s="1">
        <v>346287.02499999997</v>
      </c>
      <c r="C11" s="1">
        <v>0</v>
      </c>
      <c r="D11" s="1"/>
      <c r="F11" s="3"/>
      <c r="G11" s="1"/>
      <c r="H11" s="1"/>
    </row>
    <row r="12" spans="1:8" x14ac:dyDescent="0.25">
      <c r="A12" t="s">
        <v>91</v>
      </c>
      <c r="B12" s="1">
        <v>64859.95</v>
      </c>
      <c r="C12" s="1">
        <v>0</v>
      </c>
      <c r="D12" s="1"/>
      <c r="F12" s="3"/>
      <c r="G12" s="1"/>
      <c r="H12" s="1"/>
    </row>
    <row r="13" spans="1:8" x14ac:dyDescent="0.25">
      <c r="A13" t="s">
        <v>92</v>
      </c>
      <c r="B13" s="1">
        <v>11909.474999999999</v>
      </c>
      <c r="C13" s="1">
        <v>0</v>
      </c>
      <c r="D13" s="1"/>
      <c r="F13" s="3"/>
      <c r="G13" s="1"/>
      <c r="H13" s="1"/>
    </row>
    <row r="14" spans="1:8" x14ac:dyDescent="0.25">
      <c r="A14" t="s">
        <v>93</v>
      </c>
      <c r="B14" s="1">
        <v>35731.5</v>
      </c>
      <c r="C14" s="1">
        <v>0</v>
      </c>
      <c r="D14" s="1"/>
      <c r="F14" s="3"/>
      <c r="G14" s="1"/>
      <c r="H14" s="1"/>
    </row>
    <row r="15" spans="1:8" x14ac:dyDescent="0.25">
      <c r="A15" t="s">
        <v>94</v>
      </c>
      <c r="B15" s="1">
        <v>33350.424999999996</v>
      </c>
      <c r="C15" s="1">
        <v>0</v>
      </c>
      <c r="D15" s="1"/>
      <c r="F15" s="3"/>
      <c r="G15" s="1"/>
      <c r="H15" s="1"/>
    </row>
    <row r="16" spans="1:8" x14ac:dyDescent="0.25">
      <c r="A16" t="s">
        <v>95</v>
      </c>
      <c r="B16" s="1">
        <v>78609.299999999988</v>
      </c>
      <c r="C16" s="1">
        <v>0</v>
      </c>
      <c r="D16" s="1"/>
      <c r="F16" s="3"/>
      <c r="G16" s="1"/>
      <c r="H16" s="1"/>
    </row>
    <row r="17" spans="1:8" x14ac:dyDescent="0.25">
      <c r="A17" t="s">
        <v>96</v>
      </c>
      <c r="B17" s="1">
        <v>36586.35</v>
      </c>
      <c r="C17" s="1">
        <v>0</v>
      </c>
      <c r="D17" s="1"/>
      <c r="F17" s="3"/>
      <c r="G17" s="1"/>
      <c r="H17" s="1"/>
    </row>
    <row r="18" spans="1:8" x14ac:dyDescent="0.25">
      <c r="A18" t="s">
        <v>97</v>
      </c>
      <c r="B18" s="1">
        <v>339860.27499999997</v>
      </c>
      <c r="C18" s="1">
        <v>0</v>
      </c>
      <c r="D18" s="1"/>
      <c r="F18" s="3"/>
      <c r="G18" s="1"/>
      <c r="H18" s="1"/>
    </row>
    <row r="19" spans="1:8" x14ac:dyDescent="0.25">
      <c r="A19" t="s">
        <v>98</v>
      </c>
      <c r="B19" s="1">
        <v>1112908.0999999999</v>
      </c>
      <c r="C19" s="1">
        <v>0</v>
      </c>
      <c r="D19" s="1"/>
      <c r="F19" s="3"/>
      <c r="G19" s="1"/>
      <c r="H19" s="1"/>
    </row>
    <row r="20" spans="1:8" x14ac:dyDescent="0.25">
      <c r="A20" t="s">
        <v>99</v>
      </c>
      <c r="B20" s="1">
        <v>730312.49999999988</v>
      </c>
      <c r="C20" s="1">
        <v>0</v>
      </c>
      <c r="D20" s="1"/>
      <c r="F20" s="3"/>
      <c r="G20" s="1"/>
      <c r="H20" s="1"/>
    </row>
    <row r="21" spans="1:8" x14ac:dyDescent="0.25">
      <c r="A21" t="s">
        <v>100</v>
      </c>
      <c r="B21" s="1">
        <v>1166685.75</v>
      </c>
      <c r="C21" s="1">
        <v>0</v>
      </c>
      <c r="D21" s="1"/>
      <c r="F21" s="3"/>
      <c r="G21" s="1"/>
      <c r="H21" s="1"/>
    </row>
    <row r="22" spans="1:8" s="5" customFormat="1" x14ac:dyDescent="0.25">
      <c r="A22" s="5" t="s">
        <v>101</v>
      </c>
      <c r="B22" s="4">
        <v>6198504.8552000001</v>
      </c>
      <c r="C22" s="4">
        <v>387046.26176522812</v>
      </c>
      <c r="D22" s="4"/>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28601-0391-46B7-911B-9A3E858992E6}">
  <dimension ref="A1:C12"/>
  <sheetViews>
    <sheetView workbookViewId="0"/>
  </sheetViews>
  <sheetFormatPr defaultColWidth="8.5703125" defaultRowHeight="15" x14ac:dyDescent="0.25"/>
  <cols>
    <col min="1" max="1" width="40" bestFit="1" customWidth="1"/>
    <col min="2" max="2" width="17.28515625" bestFit="1" customWidth="1"/>
    <col min="3" max="3" width="12.5703125" customWidth="1"/>
  </cols>
  <sheetData>
    <row r="1" spans="1:3" ht="15.75" thickBot="1" x14ac:dyDescent="0.3">
      <c r="A1" s="13" t="s">
        <v>102</v>
      </c>
      <c r="B1" s="14" t="s">
        <v>25</v>
      </c>
    </row>
    <row r="2" spans="1:3" x14ac:dyDescent="0.25">
      <c r="A2" t="s">
        <v>103</v>
      </c>
      <c r="B2" s="1">
        <v>10000</v>
      </c>
      <c r="C2" s="1"/>
    </row>
    <row r="3" spans="1:3" x14ac:dyDescent="0.25">
      <c r="A3" t="s">
        <v>104</v>
      </c>
      <c r="B3" s="1">
        <v>2057650</v>
      </c>
      <c r="C3" s="1"/>
    </row>
    <row r="4" spans="1:3" x14ac:dyDescent="0.25">
      <c r="A4" t="s">
        <v>105</v>
      </c>
      <c r="B4" s="1">
        <v>14960564</v>
      </c>
      <c r="C4" s="1"/>
    </row>
    <row r="5" spans="1:3" x14ac:dyDescent="0.25">
      <c r="A5" t="s">
        <v>106</v>
      </c>
      <c r="B5" s="1">
        <v>3000000</v>
      </c>
      <c r="C5" s="1"/>
    </row>
    <row r="6" spans="1:3" x14ac:dyDescent="0.25">
      <c r="A6" t="s">
        <v>107</v>
      </c>
      <c r="B6" s="1">
        <v>24605806.390688069</v>
      </c>
      <c r="C6" s="1"/>
    </row>
    <row r="7" spans="1:3" x14ac:dyDescent="0.25">
      <c r="A7" t="s">
        <v>108</v>
      </c>
      <c r="B7" s="1">
        <v>3034898</v>
      </c>
      <c r="C7" s="1"/>
    </row>
    <row r="8" spans="1:3" x14ac:dyDescent="0.25">
      <c r="A8" t="s">
        <v>109</v>
      </c>
      <c r="B8" s="1">
        <v>410530</v>
      </c>
      <c r="C8" s="1"/>
    </row>
    <row r="9" spans="1:3" x14ac:dyDescent="0.25">
      <c r="A9" t="s">
        <v>110</v>
      </c>
      <c r="B9" s="1">
        <v>2083212.4760473599</v>
      </c>
      <c r="C9" s="1"/>
    </row>
    <row r="10" spans="1:3" s="5" customFormat="1" x14ac:dyDescent="0.25">
      <c r="A10" t="s">
        <v>111</v>
      </c>
      <c r="B10" s="1">
        <v>2555646.6790400003</v>
      </c>
      <c r="C10" s="1"/>
    </row>
    <row r="11" spans="1:3" x14ac:dyDescent="0.25">
      <c r="A11" t="s">
        <v>112</v>
      </c>
      <c r="B11" s="1">
        <v>3988479.9999999995</v>
      </c>
      <c r="C11" s="1"/>
    </row>
    <row r="12" spans="1:3" x14ac:dyDescent="0.25">
      <c r="A12" s="5" t="s">
        <v>113</v>
      </c>
      <c r="B12" s="4">
        <v>56706787.545775428</v>
      </c>
      <c r="C12" s="1"/>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fe97512-e649-48e8-bc5b-aceccddf3015" xsi:nil="true"/>
    <lcf76f155ced4ddcb4097134ff3c332f xmlns="9e1351b1-d9a5-4f9f-bebb-a6de9df0811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85D06D15A451E47A23ACC2897AED46E" ma:contentTypeVersion="15" ma:contentTypeDescription="Create a new document." ma:contentTypeScope="" ma:versionID="536db0043e6f51be9135e55a205ee929">
  <xsd:schema xmlns:xsd="http://www.w3.org/2001/XMLSchema" xmlns:xs="http://www.w3.org/2001/XMLSchema" xmlns:p="http://schemas.microsoft.com/office/2006/metadata/properties" xmlns:ns2="9e1351b1-d9a5-4f9f-bebb-a6de9df08117" xmlns:ns3="5fe97512-e649-48e8-bc5b-aceccddf3015" targetNamespace="http://schemas.microsoft.com/office/2006/metadata/properties" ma:root="true" ma:fieldsID="ad61554302bf0eff77e821d76a70ba86" ns2:_="" ns3:_="">
    <xsd:import namespace="9e1351b1-d9a5-4f9f-bebb-a6de9df08117"/>
    <xsd:import namespace="5fe97512-e649-48e8-bc5b-aceccddf301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1351b1-d9a5-4f9f-bebb-a6de9df081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5effce1-26ce-465d-98f3-ca32301bc2e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fe97512-e649-48e8-bc5b-aceccddf301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89b1aa4-289d-45e4-996b-59932576c57d}" ma:internalName="TaxCatchAll" ma:showField="CatchAllData" ma:web="5fe97512-e649-48e8-bc5b-aceccddf301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E53554-3F16-4605-9DB2-61BBC59AD0E0}">
  <ds:schemaRefs>
    <ds:schemaRef ds:uri="http://schemas.microsoft.com/sharepoint/v3/contenttype/forms"/>
  </ds:schemaRefs>
</ds:datastoreItem>
</file>

<file path=customXml/itemProps2.xml><?xml version="1.0" encoding="utf-8"?>
<ds:datastoreItem xmlns:ds="http://schemas.openxmlformats.org/officeDocument/2006/customXml" ds:itemID="{8D4C2480-2970-4021-BC16-05718359BB80}">
  <ds:schemaRefs>
    <ds:schemaRef ds:uri="5fe97512-e649-48e8-bc5b-aceccddf3015"/>
    <ds:schemaRef ds:uri="http://schemas.microsoft.com/office/2006/documentManagement/types"/>
    <ds:schemaRef ds:uri="http://purl.org/dc/elements/1.1/"/>
    <ds:schemaRef ds:uri="http://schemas.microsoft.com/office/2006/metadata/properties"/>
    <ds:schemaRef ds:uri="http://purl.org/dc/dcmitype/"/>
    <ds:schemaRef ds:uri="http://www.w3.org/XML/1998/namespace"/>
    <ds:schemaRef ds:uri="http://purl.org/dc/terms/"/>
    <ds:schemaRef ds:uri="http://schemas.microsoft.com/office/infopath/2007/PartnerControls"/>
    <ds:schemaRef ds:uri="http://schemas.openxmlformats.org/package/2006/metadata/core-properties"/>
    <ds:schemaRef ds:uri="9e1351b1-d9a5-4f9f-bebb-a6de9df08117"/>
  </ds:schemaRefs>
</ds:datastoreItem>
</file>

<file path=customXml/itemProps3.xml><?xml version="1.0" encoding="utf-8"?>
<ds:datastoreItem xmlns:ds="http://schemas.openxmlformats.org/officeDocument/2006/customXml" ds:itemID="{2694039D-651D-43FD-A5A4-3CF50DD000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1351b1-d9a5-4f9f-bebb-a6de9df08117"/>
    <ds:schemaRef ds:uri="5fe97512-e649-48e8-bc5b-aceccddf30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36d7808-73c9-41a7-97aa-8c4733642141}" enabled="0" method="" siteId="{636d7808-73c9-41a7-97aa-8c473364214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GF Forecast</vt:lpstr>
      <vt:lpstr>CAL Bureaus</vt:lpstr>
      <vt:lpstr>CAL Cash Transfers</vt:lpstr>
      <vt:lpstr>CAL Special Appropriation</vt:lpstr>
      <vt:lpstr>CAL Other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Hulseman, Peter</dc:creator>
  <cp:keywords/>
  <dc:description/>
  <cp:lastModifiedBy>Hulseman, Peter</cp:lastModifiedBy>
  <cp:revision/>
  <dcterms:created xsi:type="dcterms:W3CDTF">2025-12-10T19:40:39Z</dcterms:created>
  <dcterms:modified xsi:type="dcterms:W3CDTF">2026-03-19T15:00:17Z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0x010100B85D06D15A451E47A23ACC2897AED46E</vt:lpwstr>
  </property>
  <property fmtid="{D5CDD505-2E9C-101B-9397-08002B2CF9AE}" pid="3" name="MediaServiceImageTags">
    <vt:lpwstr/>
  </property>
</Properties>
</file>